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ll\Desktop\Redes\"/>
    </mc:Choice>
  </mc:AlternateContent>
  <xr:revisionPtr revIDLastSave="0" documentId="13_ncr:1_{8A0374B9-96C6-492A-8DBF-E3CAEBA72DFD}" xr6:coauthVersionLast="47" xr6:coauthVersionMax="47" xr10:uidLastSave="{00000000-0000-0000-0000-000000000000}"/>
  <bookViews>
    <workbookView xWindow="-120" yWindow="-120" windowWidth="19440" windowHeight="15000" activeTab="3" xr2:uid="{C9558DFE-0ED3-4090-A6E8-B9A7863BA4B4}"/>
  </bookViews>
  <sheets>
    <sheet name="FACTURA" sheetId="2" r:id="rId1"/>
    <sheet name="BASE DE DATOS" sheetId="6" r:id="rId2"/>
    <sheet name="DATOS GENERALES" sheetId="1" r:id="rId3"/>
    <sheet name="DATOS DE ELEMENTOS" sheetId="4" r:id="rId4"/>
    <sheet name="N. FACTURACION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N36" i="2" l="1"/>
  <c r="AM10" i="2"/>
  <c r="AT34" i="2"/>
  <c r="Y20" i="2"/>
  <c r="Y21" i="2"/>
  <c r="Y22" i="2"/>
  <c r="Y23" i="2"/>
  <c r="Y24" i="2"/>
  <c r="Y25" i="2"/>
  <c r="AT25" i="2" s="1"/>
  <c r="Y26" i="2"/>
  <c r="Y27" i="2"/>
  <c r="AT27" i="2" s="1"/>
  <c r="Y28" i="2"/>
  <c r="Y29" i="2"/>
  <c r="AT29" i="2" s="1"/>
  <c r="Y30" i="2"/>
  <c r="AN30" i="2" s="1"/>
  <c r="Y31" i="2"/>
  <c r="Y32" i="2"/>
  <c r="AT32" i="2" s="1"/>
  <c r="Y33" i="2"/>
  <c r="Y34" i="2"/>
  <c r="Y35" i="2"/>
  <c r="AT35" i="2" s="1"/>
  <c r="Y19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19" i="2"/>
  <c r="B33" i="2"/>
  <c r="B34" i="2"/>
  <c r="B35" i="2"/>
  <c r="AN34" i="2"/>
  <c r="D8" i="5"/>
  <c r="C10" i="5" s="1"/>
  <c r="M12" i="2"/>
  <c r="M14" i="2"/>
  <c r="AT31" i="2" l="1"/>
  <c r="AN35" i="2"/>
  <c r="AN32" i="2"/>
  <c r="AN31" i="2"/>
  <c r="AT30" i="2"/>
  <c r="AN27" i="2"/>
  <c r="AN25" i="2"/>
  <c r="AT23" i="2"/>
  <c r="AT21" i="2"/>
  <c r="AN22" i="2"/>
  <c r="AT20" i="2"/>
  <c r="AM12" i="2"/>
  <c r="AT22" i="2"/>
  <c r="AN20" i="2"/>
  <c r="AN21" i="2"/>
  <c r="AN24" i="2"/>
  <c r="AT24" i="2"/>
  <c r="AN26" i="2"/>
  <c r="AT26" i="2"/>
  <c r="AN29" i="2"/>
  <c r="AN23" i="2"/>
  <c r="AT33" i="2"/>
  <c r="AN28" i="2"/>
  <c r="AN33" i="2"/>
  <c r="AT28" i="2"/>
  <c r="AT19" i="2"/>
  <c r="AN19" i="2"/>
  <c r="AI38" i="2" l="1"/>
  <c r="AN37" i="2"/>
  <c r="AN38" i="2" l="1"/>
  <c r="AN39" i="2" s="1"/>
</calcChain>
</file>

<file path=xl/sharedStrings.xml><?xml version="1.0" encoding="utf-8"?>
<sst xmlns="http://schemas.openxmlformats.org/spreadsheetml/2006/main" count="177" uniqueCount="119">
  <si>
    <t>NOMBRE Y APELLIDO</t>
  </si>
  <si>
    <t>DOCUMENTO DE ID.</t>
  </si>
  <si>
    <t>CAMILO GUEVARA</t>
  </si>
  <si>
    <t>JULIETH GOMEZ</t>
  </si>
  <si>
    <t>JHON CASTRO</t>
  </si>
  <si>
    <t>FECHA:</t>
  </si>
  <si>
    <t xml:space="preserve">N. FACTURA: </t>
  </si>
  <si>
    <t>LAURA RAMIREZ</t>
  </si>
  <si>
    <t>MARTIN MONROY</t>
  </si>
  <si>
    <t>OSCAR MORENO</t>
  </si>
  <si>
    <t xml:space="preserve">HECTOR MELGAREJO </t>
  </si>
  <si>
    <t xml:space="preserve">INGENIERO </t>
  </si>
  <si>
    <t xml:space="preserve">CARGO </t>
  </si>
  <si>
    <t xml:space="preserve">DEPARTAMENTO </t>
  </si>
  <si>
    <t xml:space="preserve">DIRECTOR </t>
  </si>
  <si>
    <t>ADMINISTRADOR</t>
  </si>
  <si>
    <t xml:space="preserve">CONTADOR </t>
  </si>
  <si>
    <t xml:space="preserve">ARQUITECTO </t>
  </si>
  <si>
    <t xml:space="preserve">AUXILIAR </t>
  </si>
  <si>
    <t xml:space="preserve">GERENTE </t>
  </si>
  <si>
    <t xml:space="preserve">TECNOLOGICO </t>
  </si>
  <si>
    <t xml:space="preserve">REDES </t>
  </si>
  <si>
    <t xml:space="preserve">PUBLICO </t>
  </si>
  <si>
    <t xml:space="preserve">PALNOS Y DISEÑO </t>
  </si>
  <si>
    <t xml:space="preserve">CABLEADO </t>
  </si>
  <si>
    <t xml:space="preserve">MANTENIMIENTO </t>
  </si>
  <si>
    <t xml:space="preserve">ALMACEN </t>
  </si>
  <si>
    <t xml:space="preserve">TELEFONO </t>
  </si>
  <si>
    <t>DIRECCCION</t>
  </si>
  <si>
    <t>CRA 76# 78B</t>
  </si>
  <si>
    <t>CRA 5 # 98D</t>
  </si>
  <si>
    <t>AVE 78 # 90</t>
  </si>
  <si>
    <t>CLL 65 # 78E</t>
  </si>
  <si>
    <t>AVE 34 # 98</t>
  </si>
  <si>
    <t>CLL 23 # 24 E</t>
  </si>
  <si>
    <t>TV 13 # 39-64</t>
  </si>
  <si>
    <t>CLL 34 # 68A</t>
  </si>
  <si>
    <t>NOMBRE DE EMPLEADO :</t>
  </si>
  <si>
    <t>DEPARTAMENTO :</t>
  </si>
  <si>
    <t>DOCUMENTO DE ID :</t>
  </si>
  <si>
    <t xml:space="preserve">SERVICIO NACIONAL DE APRENDIZAJE SENA </t>
  </si>
  <si>
    <t xml:space="preserve">CANTIDAD </t>
  </si>
  <si>
    <t xml:space="preserve">V. IVA </t>
  </si>
  <si>
    <t xml:space="preserve">V. TOTAL </t>
  </si>
  <si>
    <t>V. IVA $</t>
  </si>
  <si>
    <t>VALOR DEL IVA</t>
  </si>
  <si>
    <t xml:space="preserve">VALOR DESCUENTO OTORGADO </t>
  </si>
  <si>
    <t xml:space="preserve">ELEMENTO </t>
  </si>
  <si>
    <t>CABLE CAT 6</t>
  </si>
  <si>
    <t>CONCETORES RJ45</t>
  </si>
  <si>
    <t>MODEM</t>
  </si>
  <si>
    <t>SWICTH</t>
  </si>
  <si>
    <t xml:space="preserve">ROUTER </t>
  </si>
  <si>
    <t>TORNILLOS</t>
  </si>
  <si>
    <t>CANALETAS</t>
  </si>
  <si>
    <t>RACKS GABINETE</t>
  </si>
  <si>
    <t>PATCH PANEL</t>
  </si>
  <si>
    <t>SERVIDOR RACK</t>
  </si>
  <si>
    <t xml:space="preserve">TEST DE CABLE INTERNET </t>
  </si>
  <si>
    <t>PRECIO</t>
  </si>
  <si>
    <t>V. IVA</t>
  </si>
  <si>
    <t>MTS</t>
  </si>
  <si>
    <t>UND</t>
  </si>
  <si>
    <t>CODIGO</t>
  </si>
  <si>
    <t>MARCA</t>
  </si>
  <si>
    <t>UTP</t>
  </si>
  <si>
    <t>X</t>
  </si>
  <si>
    <t>ZTE H168N</t>
  </si>
  <si>
    <t>TPLINK TL-SG3428</t>
  </si>
  <si>
    <t>CISCO</t>
  </si>
  <si>
    <t>MERCURY</t>
  </si>
  <si>
    <t>QUEST INTERNACIONAL S.A</t>
  </si>
  <si>
    <t>INFINIT+E</t>
  </si>
  <si>
    <t>HPE DL180 GEN10</t>
  </si>
  <si>
    <t>PUERTOS</t>
  </si>
  <si>
    <t>VELOCIDAD</t>
  </si>
  <si>
    <t>1GB/S</t>
  </si>
  <si>
    <t>300MPS</t>
  </si>
  <si>
    <t>1000MPS</t>
  </si>
  <si>
    <t xml:space="preserve">2.1 GHZ </t>
  </si>
  <si>
    <t>GARANTIA</t>
  </si>
  <si>
    <t>6 MESES</t>
  </si>
  <si>
    <t>12 MESES</t>
  </si>
  <si>
    <t>12MESES</t>
  </si>
  <si>
    <t>3 MESES</t>
  </si>
  <si>
    <t>RAM</t>
  </si>
  <si>
    <t>INTEL XEON 8 NUCLEOS</t>
  </si>
  <si>
    <t>PROCESADOR</t>
  </si>
  <si>
    <t>1*16GB</t>
  </si>
  <si>
    <t>POTENCIA SALIDA</t>
  </si>
  <si>
    <t>500W</t>
  </si>
  <si>
    <t xml:space="preserve">PRECIO </t>
  </si>
  <si>
    <t>2,000,000</t>
  </si>
  <si>
    <t>50,000,000,000</t>
  </si>
  <si>
    <t>10,000,000,000</t>
  </si>
  <si>
    <t>300,000,000,000</t>
  </si>
  <si>
    <t>1,000,000,000,000,</t>
  </si>
  <si>
    <t>DESCUENTO</t>
  </si>
  <si>
    <t>NUMERO DE FACTURA</t>
  </si>
  <si>
    <t>NUMERO DE INCREMENTO</t>
  </si>
  <si>
    <t xml:space="preserve">NUMERO ACTUAL </t>
  </si>
  <si>
    <t>CODIGO FACTURA</t>
  </si>
  <si>
    <t>CRISTIAN GONZALEZ</t>
  </si>
  <si>
    <t>NOMBRE</t>
  </si>
  <si>
    <t xml:space="preserve">V. UNIDAD </t>
  </si>
  <si>
    <t>DESCRIPCCION DEL ELEMENTO</t>
  </si>
  <si>
    <t xml:space="preserve"> TOTAL, VALOR BRUTO</t>
  </si>
  <si>
    <t>VALOR TOTAL DE LA FACTURA</t>
  </si>
  <si>
    <t xml:space="preserve">CONTROL DE ENTRADA Y SALIDA DE ELEMENTOS </t>
  </si>
  <si>
    <t>SKL-</t>
  </si>
  <si>
    <t>CONCEPTO :</t>
  </si>
  <si>
    <t>FECHA</t>
  </si>
  <si>
    <t>N. FACTURA</t>
  </si>
  <si>
    <t>CUENTA</t>
  </si>
  <si>
    <t xml:space="preserve">DEBITO </t>
  </si>
  <si>
    <t>CREDITO</t>
  </si>
  <si>
    <t>CONCEPTO</t>
  </si>
  <si>
    <t xml:space="preserve">BIENVENIDO </t>
  </si>
  <si>
    <t>CUENTAS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</si>
</sst>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&quot;$&quot;\ #,##0.00"/>
    <numFmt numFmtId="165" formatCode="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Border="1" applyAlignment="1"/>
    <xf numFmtId="0" fontId="0" fillId="0" borderId="6" xfId="0" applyBorder="1" applyAlignment="1"/>
    <xf numFmtId="0" fontId="0" fillId="0" borderId="6" xfId="0" applyBorder="1"/>
    <xf numFmtId="0" fontId="0" fillId="0" borderId="6" xfId="0" applyFill="1" applyBorder="1"/>
    <xf numFmtId="0" fontId="0" fillId="0" borderId="0" xfId="0" applyAlignment="1"/>
    <xf numFmtId="0" fontId="0" fillId="0" borderId="0" xfId="0" applyFont="1" applyBorder="1" applyAlignment="1"/>
    <xf numFmtId="0" fontId="0" fillId="0" borderId="6" xfId="0" applyFont="1" applyFill="1" applyBorder="1"/>
    <xf numFmtId="0" fontId="0" fillId="0" borderId="3" xfId="0" applyBorder="1"/>
    <xf numFmtId="0" fontId="0" fillId="0" borderId="1" xfId="0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/>
    <xf numFmtId="0" fontId="0" fillId="0" borderId="9" xfId="0" applyBorder="1"/>
    <xf numFmtId="0" fontId="0" fillId="0" borderId="13" xfId="0" applyBorder="1"/>
    <xf numFmtId="0" fontId="0" fillId="0" borderId="5" xfId="0" applyBorder="1"/>
    <xf numFmtId="0" fontId="0" fillId="2" borderId="7" xfId="0" applyFill="1" applyBorder="1" applyAlignment="1"/>
    <xf numFmtId="0" fontId="0" fillId="2" borderId="0" xfId="0" applyFill="1" applyBorder="1" applyAlignment="1"/>
    <xf numFmtId="0" fontId="0" fillId="2" borderId="0" xfId="0" applyFill="1" applyBorder="1"/>
    <xf numFmtId="0" fontId="0" fillId="2" borderId="8" xfId="0" applyFill="1" applyBorder="1"/>
    <xf numFmtId="0" fontId="0" fillId="2" borderId="0" xfId="0" applyFill="1" applyBorder="1" applyAlignment="1">
      <alignment horizontal="center"/>
    </xf>
    <xf numFmtId="0" fontId="0" fillId="2" borderId="7" xfId="0" applyFill="1" applyBorder="1"/>
    <xf numFmtId="0" fontId="0" fillId="2" borderId="10" xfId="0" applyFill="1" applyBorder="1"/>
    <xf numFmtId="0" fontId="0" fillId="2" borderId="4" xfId="0" applyFill="1" applyBorder="1"/>
    <xf numFmtId="0" fontId="0" fillId="2" borderId="11" xfId="0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0" fillId="0" borderId="3" xfId="0" applyBorder="1" applyAlignment="1"/>
    <xf numFmtId="0" fontId="0" fillId="0" borderId="1" xfId="0" applyBorder="1" applyAlignment="1"/>
    <xf numFmtId="0" fontId="1" fillId="0" borderId="11" xfId="0" applyFont="1" applyBorder="1" applyAlignment="1"/>
    <xf numFmtId="0" fontId="1" fillId="0" borderId="12" xfId="0" applyFont="1" applyBorder="1" applyAlignment="1"/>
    <xf numFmtId="0" fontId="1" fillId="0" borderId="12" xfId="0" applyFont="1" applyFill="1" applyBorder="1"/>
    <xf numFmtId="0" fontId="1" fillId="0" borderId="10" xfId="0" applyFont="1" applyBorder="1" applyAlignment="1"/>
    <xf numFmtId="0" fontId="0" fillId="0" borderId="9" xfId="0" applyBorder="1" applyAlignment="1"/>
    <xf numFmtId="0" fontId="0" fillId="0" borderId="13" xfId="0" applyBorder="1" applyAlignment="1"/>
    <xf numFmtId="0" fontId="0" fillId="0" borderId="13" xfId="0" applyFill="1" applyBorder="1"/>
    <xf numFmtId="0" fontId="0" fillId="0" borderId="5" xfId="0" applyBorder="1" applyAlignment="1"/>
    <xf numFmtId="9" fontId="0" fillId="0" borderId="1" xfId="0" applyNumberFormat="1" applyBorder="1"/>
    <xf numFmtId="0" fontId="1" fillId="0" borderId="11" xfId="0" applyFont="1" applyFill="1" applyBorder="1"/>
    <xf numFmtId="0" fontId="1" fillId="0" borderId="10" xfId="0" applyFont="1" applyFill="1" applyBorder="1"/>
    <xf numFmtId="9" fontId="0" fillId="0" borderId="5" xfId="0" applyNumberFormat="1" applyBorder="1"/>
    <xf numFmtId="0" fontId="0" fillId="2" borderId="0" xfId="0" applyFill="1"/>
    <xf numFmtId="0" fontId="1" fillId="2" borderId="0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1" fillId="2" borderId="0" xfId="0" applyFont="1" applyFill="1" applyBorder="1" applyAlignment="1"/>
    <xf numFmtId="165" fontId="0" fillId="0" borderId="0" xfId="0" applyNumberFormat="1"/>
    <xf numFmtId="165" fontId="0" fillId="0" borderId="6" xfId="0" applyNumberFormat="1" applyBorder="1"/>
    <xf numFmtId="165" fontId="1" fillId="6" borderId="6" xfId="0" applyNumberFormat="1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5" fontId="1" fillId="2" borderId="6" xfId="0" applyNumberFormat="1" applyFont="1" applyFill="1" applyBorder="1" applyAlignment="1">
      <alignment horizontal="center"/>
    </xf>
    <xf numFmtId="0" fontId="0" fillId="6" borderId="6" xfId="0" applyFill="1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1" xfId="2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2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164" fontId="0" fillId="0" borderId="1" xfId="2" applyNumberFormat="1" applyFont="1" applyBorder="1" applyAlignment="1">
      <alignment horizontal="center"/>
    </xf>
    <xf numFmtId="164" fontId="0" fillId="0" borderId="2" xfId="2" applyNumberFormat="1" applyFont="1" applyBorder="1" applyAlignment="1">
      <alignment horizontal="center"/>
    </xf>
    <xf numFmtId="164" fontId="0" fillId="0" borderId="3" xfId="2" applyNumberFormat="1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9" fontId="0" fillId="4" borderId="6" xfId="2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4" fontId="0" fillId="4" borderId="1" xfId="1" applyNumberFormat="1" applyFont="1" applyFill="1" applyBorder="1" applyAlignment="1">
      <alignment horizontal="center"/>
    </xf>
    <xf numFmtId="0" fontId="0" fillId="4" borderId="2" xfId="1" applyNumberFormat="1" applyFont="1" applyFill="1" applyBorder="1" applyAlignment="1">
      <alignment horizontal="center"/>
    </xf>
    <xf numFmtId="0" fontId="0" fillId="4" borderId="3" xfId="1" applyNumberFormat="1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44" fontId="0" fillId="4" borderId="1" xfId="0" applyNumberFormat="1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36">
    <dxf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10949</xdr:rowOff>
    </xdr:from>
    <xdr:to>
      <xdr:col>15</xdr:col>
      <xdr:colOff>219808</xdr:colOff>
      <xdr:row>43</xdr:row>
      <xdr:rowOff>0</xdr:rowOff>
    </xdr:to>
    <xdr:sp macro="[0]!BUSCAR" textlink="">
      <xdr:nvSpPr>
        <xdr:cNvPr id="5" name="Rectángulo: biselado 4">
          <a:extLst>
            <a:ext uri="{FF2B5EF4-FFF2-40B4-BE49-F238E27FC236}">
              <a16:creationId xmlns:a16="http://schemas.microsoft.com/office/drawing/2014/main" id="{3D4349CC-1E09-20E3-9A94-5364B4A07368}"/>
            </a:ext>
          </a:extLst>
        </xdr:cNvPr>
        <xdr:cNvSpPr/>
      </xdr:nvSpPr>
      <xdr:spPr>
        <a:xfrm>
          <a:off x="228600" y="7821449"/>
          <a:ext cx="3420208" cy="370051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BUSCAR</a:t>
          </a:r>
          <a:r>
            <a:rPr lang="es-CO" sz="1100"/>
            <a:t> </a:t>
          </a:r>
        </a:p>
      </xdr:txBody>
    </xdr:sp>
    <xdr:clientData/>
  </xdr:twoCellAnchor>
  <xdr:twoCellAnchor>
    <xdr:from>
      <xdr:col>35</xdr:col>
      <xdr:colOff>0</xdr:colOff>
      <xdr:row>41</xdr:row>
      <xdr:rowOff>9524</xdr:rowOff>
    </xdr:from>
    <xdr:to>
      <xdr:col>50</xdr:col>
      <xdr:colOff>438</xdr:colOff>
      <xdr:row>42</xdr:row>
      <xdr:rowOff>190499</xdr:rowOff>
    </xdr:to>
    <xdr:sp macro="[0]!Módulo6.ELIMINAR" textlink="">
      <xdr:nvSpPr>
        <xdr:cNvPr id="8" name="Rectángulo: biselado 7">
          <a:extLst>
            <a:ext uri="{FF2B5EF4-FFF2-40B4-BE49-F238E27FC236}">
              <a16:creationId xmlns:a16="http://schemas.microsoft.com/office/drawing/2014/main" id="{9F5A2863-44E8-4AA6-8F79-995B646C0367}"/>
            </a:ext>
          </a:extLst>
        </xdr:cNvPr>
        <xdr:cNvSpPr/>
      </xdr:nvSpPr>
      <xdr:spPr>
        <a:xfrm>
          <a:off x="8001000" y="7820024"/>
          <a:ext cx="3429438" cy="371475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ELIMINAR</a:t>
          </a:r>
          <a:r>
            <a:rPr lang="es-CO" sz="2000" b="1">
              <a:solidFill>
                <a:sysClr val="windowText" lastClr="000000"/>
              </a:solidFill>
            </a:rPr>
            <a:t> </a:t>
          </a:r>
        </a:p>
        <a:p>
          <a:pPr algn="ctr"/>
          <a:r>
            <a:rPr lang="es-CO" sz="1100"/>
            <a:t> </a:t>
          </a:r>
        </a:p>
      </xdr:txBody>
    </xdr:sp>
    <xdr:clientData/>
  </xdr:twoCellAnchor>
  <xdr:twoCellAnchor>
    <xdr:from>
      <xdr:col>16</xdr:col>
      <xdr:colOff>1</xdr:colOff>
      <xdr:row>41</xdr:row>
      <xdr:rowOff>13408</xdr:rowOff>
    </xdr:from>
    <xdr:to>
      <xdr:col>35</xdr:col>
      <xdr:colOff>0</xdr:colOff>
      <xdr:row>43</xdr:row>
      <xdr:rowOff>0</xdr:rowOff>
    </xdr:to>
    <xdr:sp macro="[0]!GUARDAR" textlink="">
      <xdr:nvSpPr>
        <xdr:cNvPr id="9" name="Rectángulo: biselado 8">
          <a:extLst>
            <a:ext uri="{FF2B5EF4-FFF2-40B4-BE49-F238E27FC236}">
              <a16:creationId xmlns:a16="http://schemas.microsoft.com/office/drawing/2014/main" id="{F6F4FBC9-5868-4FAD-A9FA-78F4E4B87506}"/>
            </a:ext>
          </a:extLst>
        </xdr:cNvPr>
        <xdr:cNvSpPr/>
      </xdr:nvSpPr>
      <xdr:spPr>
        <a:xfrm>
          <a:off x="3657601" y="7823908"/>
          <a:ext cx="4343399" cy="367592"/>
        </a:xfrm>
        <a:prstGeom prst="bevel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GUARDAR</a:t>
          </a:r>
          <a:r>
            <a:rPr lang="es-CO" sz="2000" b="1">
              <a:solidFill>
                <a:sysClr val="windowText" lastClr="000000"/>
              </a:solidFill>
            </a:rPr>
            <a:t>  </a:t>
          </a:r>
        </a:p>
        <a:p>
          <a:pPr algn="ctr"/>
          <a:r>
            <a:rPr lang="es-CO" sz="1100"/>
            <a:t> </a:t>
          </a:r>
        </a:p>
      </xdr:txBody>
    </xdr:sp>
    <xdr:clientData/>
  </xdr:twoCellAnchor>
  <xdr:twoCellAnchor editAs="oneCell">
    <xdr:from>
      <xdr:col>1</xdr:col>
      <xdr:colOff>191927</xdr:colOff>
      <xdr:row>41</xdr:row>
      <xdr:rowOff>127971</xdr:rowOff>
    </xdr:from>
    <xdr:to>
      <xdr:col>3</xdr:col>
      <xdr:colOff>55537</xdr:colOff>
      <xdr:row>42</xdr:row>
      <xdr:rowOff>95251</xdr:rowOff>
    </xdr:to>
    <xdr:pic>
      <xdr:nvPicPr>
        <xdr:cNvPr id="4" name="Gráfico 3" descr="Lupa con relleno sólido">
          <a:extLst>
            <a:ext uri="{FF2B5EF4-FFF2-40B4-BE49-F238E27FC236}">
              <a16:creationId xmlns:a16="http://schemas.microsoft.com/office/drawing/2014/main" id="{91C13E74-9D56-8C52-0E33-56C43D10F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527" y="7938471"/>
          <a:ext cx="320810" cy="157780"/>
        </a:xfrm>
        <a:prstGeom prst="rect">
          <a:avLst/>
        </a:prstGeom>
      </xdr:spPr>
    </xdr:pic>
    <xdr:clientData/>
  </xdr:twoCellAnchor>
  <xdr:twoCellAnchor editAs="oneCell">
    <xdr:from>
      <xdr:col>16</xdr:col>
      <xdr:colOff>103547</xdr:colOff>
      <xdr:row>41</xdr:row>
      <xdr:rowOff>101873</xdr:rowOff>
    </xdr:from>
    <xdr:to>
      <xdr:col>17</xdr:col>
      <xdr:colOff>180975</xdr:colOff>
      <xdr:row>42</xdr:row>
      <xdr:rowOff>142875</xdr:rowOff>
    </xdr:to>
    <xdr:pic>
      <xdr:nvPicPr>
        <xdr:cNvPr id="7" name="Gráfico 6" descr="Disco con relleno sólido">
          <a:extLst>
            <a:ext uri="{FF2B5EF4-FFF2-40B4-BE49-F238E27FC236}">
              <a16:creationId xmlns:a16="http://schemas.microsoft.com/office/drawing/2014/main" id="{D7D9F16D-7DAC-E765-6DA9-9B2DC3FC9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61147" y="7912373"/>
          <a:ext cx="306028" cy="231502"/>
        </a:xfrm>
        <a:prstGeom prst="rect">
          <a:avLst/>
        </a:prstGeom>
      </xdr:spPr>
    </xdr:pic>
    <xdr:clientData/>
  </xdr:twoCellAnchor>
  <xdr:twoCellAnchor editAs="oneCell">
    <xdr:from>
      <xdr:col>35</xdr:col>
      <xdr:colOff>185988</xdr:colOff>
      <xdr:row>41</xdr:row>
      <xdr:rowOff>108951</xdr:rowOff>
    </xdr:from>
    <xdr:to>
      <xdr:col>37</xdr:col>
      <xdr:colOff>28576</xdr:colOff>
      <xdr:row>42</xdr:row>
      <xdr:rowOff>95250</xdr:rowOff>
    </xdr:to>
    <xdr:pic>
      <xdr:nvPicPr>
        <xdr:cNvPr id="13" name="Gráfico 12" descr="Cerrar con relleno sólido">
          <a:extLst>
            <a:ext uri="{FF2B5EF4-FFF2-40B4-BE49-F238E27FC236}">
              <a16:creationId xmlns:a16="http://schemas.microsoft.com/office/drawing/2014/main" id="{3EB6B3DF-C6C4-C3AF-2DDB-9D2A0515F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86988" y="7919451"/>
          <a:ext cx="299788" cy="176799"/>
        </a:xfrm>
        <a:prstGeom prst="rect">
          <a:avLst/>
        </a:prstGeom>
      </xdr:spPr>
    </xdr:pic>
    <xdr:clientData/>
  </xdr:twoCellAnchor>
  <xdr:twoCellAnchor editAs="oneCell">
    <xdr:from>
      <xdr:col>41</xdr:col>
      <xdr:colOff>195719</xdr:colOff>
      <xdr:row>3</xdr:row>
      <xdr:rowOff>117432</xdr:rowOff>
    </xdr:from>
    <xdr:to>
      <xdr:col>52</xdr:col>
      <xdr:colOff>78287</xdr:colOff>
      <xdr:row>17</xdr:row>
      <xdr:rowOff>130482</xdr:rowOff>
    </xdr:to>
    <xdr:pic>
      <xdr:nvPicPr>
        <xdr:cNvPr id="2" name="Imagen 1" descr="AGENCIA PÚBLICA DE EMPLEO SENA BARRANCABERMEJA: Pruebas Banco de  Instructores SENA - 2020">
          <a:extLst>
            <a:ext uri="{FF2B5EF4-FFF2-40B4-BE49-F238E27FC236}">
              <a16:creationId xmlns:a16="http://schemas.microsoft.com/office/drawing/2014/main" id="{4DE4A8ED-C9EA-85C5-E44F-2ED40872B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5103" y="704590"/>
          <a:ext cx="2231198" cy="275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CAF2BA-FC5B-4470-8FBD-9D1510CF908C}" name="Tabla3" displayName="Tabla3" ref="C3:H11" totalsRowShown="0" headerRowDxfId="35" headerRowBorderDxfId="34" tableBorderDxfId="33" totalsRowBorderDxfId="32">
  <autoFilter ref="C3:H11" xr:uid="{87CAF2BA-FC5B-4470-8FBD-9D1510CF908C}"/>
  <tableColumns count="6">
    <tableColumn id="1" xr3:uid="{07DDE107-9F78-4F37-A095-1065DDA11687}" name="NOMBRE Y APELLIDO" dataDxfId="31"/>
    <tableColumn id="2" xr3:uid="{9EDF17DE-FE8D-4E33-B6A1-1F5FCB4D39C0}" name="CARGO " dataDxfId="30"/>
    <tableColumn id="3" xr3:uid="{10AEA4AE-D3E9-4735-8177-D1DF57407167}" name="DEPARTAMENTO " dataDxfId="29"/>
    <tableColumn id="4" xr3:uid="{E0FFC4D6-6ADB-41D2-AF06-8FEE6FF15BC0}" name="TELEFONO " dataDxfId="28"/>
    <tableColumn id="5" xr3:uid="{E0252352-77E5-4E9D-B666-084856238A67}" name="DIRECCCION" dataDxfId="27"/>
    <tableColumn id="6" xr3:uid="{A2F054B7-68F0-412F-A227-7F040280A8CE}" name="DOCUMENTO DE ID.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9F816D-C7DA-4DDF-8090-5349FBEA9F9F}" name="ELEMENTOS" displayName="ELEMENTOS" ref="B4:F15" totalsRowShown="0" headerRowDxfId="25" headerRowBorderDxfId="24" tableBorderDxfId="23" totalsRowBorderDxfId="22">
  <autoFilter ref="B4:F15" xr:uid="{7D9F816D-C7DA-4DDF-8090-5349FBEA9F9F}"/>
  <tableColumns count="5">
    <tableColumn id="1" xr3:uid="{28D68091-C976-4C2F-8A2F-35B950AE02F4}" name="ELEMENTO " dataDxfId="21"/>
    <tableColumn id="2" xr3:uid="{9D6D39FB-A7E0-4EE7-8853-80C77AC13E71}" name="PRECIO" dataDxfId="20"/>
    <tableColumn id="3" xr3:uid="{CF11282E-AAE6-4457-8A84-E7D5B0F11432}" name="V. IVA" dataDxfId="19"/>
    <tableColumn id="4" xr3:uid="{12C1B8C0-8DA3-4476-B94D-02868D8453E4}" name="CANTIDAD " dataDxfId="18"/>
    <tableColumn id="5" xr3:uid="{7386570C-1019-44FE-8C8C-6B56564C3AC9}" name="CODIGO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9721E-9673-4C29-871D-C8D0BF9BA5A8}" name="Tabla2" displayName="Tabla2" ref="I4:O14" totalsRowShown="0" headerRowDxfId="16" headerRowBorderDxfId="15" tableBorderDxfId="14" totalsRowBorderDxfId="13">
  <autoFilter ref="I4:O14" xr:uid="{7DC9721E-9673-4C29-871D-C8D0BF9BA5A8}"/>
  <tableColumns count="7">
    <tableColumn id="1" xr3:uid="{93EA88E0-A8A8-4EFA-BD82-3B7A33C64228}" name="MARCA" dataDxfId="12"/>
    <tableColumn id="2" xr3:uid="{07441860-E02F-44E3-A290-C5DD7174920E}" name="PUERTOS" dataDxfId="11"/>
    <tableColumn id="3" xr3:uid="{535D3236-1F5B-43E3-8092-13763CFB9CB0}" name="VELOCIDAD" dataDxfId="10"/>
    <tableColumn id="4" xr3:uid="{D63448C0-2843-49A1-A4C8-AB29FB28DF60}" name="GARANTIA" dataDxfId="9"/>
    <tableColumn id="5" xr3:uid="{E227822C-0CD1-411F-A270-910FA5C467FE}" name="RAM" dataDxfId="8"/>
    <tableColumn id="6" xr3:uid="{8E998D03-84CA-4801-8990-891B5530BF09}" name="PROCESADOR" dataDxfId="7"/>
    <tableColumn id="7" xr3:uid="{7C609E99-01BB-47A0-916B-538FFC4626D6}" name="POTENCIA SALIDA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600FB6-32FA-4AF8-AA47-5BE5B70E4000}" name="Tabla4" displayName="Tabla4" ref="Q4:R9" totalsRowShown="0" headerRowDxfId="5" headerRowBorderDxfId="4" tableBorderDxfId="3" totalsRowBorderDxfId="2">
  <autoFilter ref="Q4:R9" xr:uid="{92600FB6-32FA-4AF8-AA47-5BE5B70E4000}"/>
  <tableColumns count="2">
    <tableColumn id="1" xr3:uid="{B77CBEA5-905D-49F9-9C14-C38A9C076CCC}" name="PRECIO " dataDxfId="1"/>
    <tableColumn id="2" xr3:uid="{212D4A25-C787-44CA-ACD8-0204EE7C9E47}" name="DESCUENTO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F83E7-BA51-4E1B-BBF4-77CC5157345B}" name="Tabla5" displayName="Tabla5" ref="B25:F39" headerRowCount="0" totalsRowShown="0">
  <tableColumns count="5">
    <tableColumn id="1" xr3:uid="{1158A131-1E78-4955-970B-DA94705C48C5}" name="Columna1"/>
    <tableColumn id="2" xr3:uid="{674B9459-8FA2-4406-8F7F-C735A83F0B82}" name="Columna2"/>
    <tableColumn id="3" xr3:uid="{FC46AD71-52AC-4B5E-8188-553967D646A1}" name="Columna3"/>
    <tableColumn id="4" xr3:uid="{B4BC5BFA-0D3D-426D-8A44-11C59E0DB4AE}" name="Columna4"/>
    <tableColumn id="5" xr3:uid="{75F9EC15-D50B-49D2-B25C-4928B2240512}" name="Columna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9C856D-932F-4DFA-BE2D-4CB7F7DB92E5}" name="Tabla6" displayName="Tabla6" ref="I25:O40" headerRowCount="0" totalsRowShown="0">
  <tableColumns count="7">
    <tableColumn id="1" xr3:uid="{F3D26227-4AF2-486C-BEA0-3F30B6D47127}" name="Columna1"/>
    <tableColumn id="2" xr3:uid="{061D5095-B355-4CCF-9E7A-4288FC295D08}" name="Columna2"/>
    <tableColumn id="3" xr3:uid="{753849E0-3860-42CB-AA05-D4418C2BC5BA}" name="Columna3"/>
    <tableColumn id="4" xr3:uid="{61946019-9101-4FBC-98D3-7B353E88128C}" name="Columna4"/>
    <tableColumn id="5" xr3:uid="{B3413393-C349-4F8C-A610-CE1D2BA76675}" name="Columna5"/>
    <tableColumn id="6" xr3:uid="{0157AAF3-8229-4766-8246-5926AF3BF583}" name="Columna6"/>
    <tableColumn id="7" xr3:uid="{522C1EA5-46AB-495A-B423-3A6559D4B330}" name="Columna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1E362-0467-4CD5-A2CC-DA455F4E510A}">
  <sheetPr codeName="Hoja5"/>
  <dimension ref="A1:AZ41"/>
  <sheetViews>
    <sheetView topLeftCell="A10" zoomScaleNormal="100" workbookViewId="0">
      <selection activeCell="M10" sqref="M10:AF10"/>
    </sheetView>
  </sheetViews>
  <sheetFormatPr baseColWidth="10" defaultColWidth="3.42578125" defaultRowHeight="15" x14ac:dyDescent="0.25"/>
  <cols>
    <col min="52" max="52" width="12.28515625" hidden="1" customWidth="1"/>
  </cols>
  <sheetData>
    <row r="1" spans="1:50" x14ac:dyDescent="0.25">
      <c r="A1" s="5"/>
    </row>
    <row r="2" spans="1:50" x14ac:dyDescent="0.25">
      <c r="A2" s="5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</row>
    <row r="3" spans="1:50" x14ac:dyDescent="0.25">
      <c r="A3" s="5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</row>
    <row r="4" spans="1:50" x14ac:dyDescent="0.25">
      <c r="A4" s="5"/>
      <c r="B4" s="68" t="s">
        <v>40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</row>
    <row r="5" spans="1:50" x14ac:dyDescent="0.25">
      <c r="A5" s="5"/>
      <c r="B5" s="69" t="s">
        <v>108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1"/>
    </row>
    <row r="6" spans="1:50" x14ac:dyDescent="0.25">
      <c r="A6" s="5"/>
      <c r="B6" s="16"/>
      <c r="C6" s="41"/>
      <c r="D6" s="41"/>
      <c r="E6" s="41"/>
      <c r="F6" s="41"/>
      <c r="G6" s="41"/>
      <c r="H6" s="41"/>
      <c r="I6" s="41"/>
      <c r="J6" s="41"/>
      <c r="K6" s="41"/>
      <c r="L6" s="41"/>
      <c r="M6" s="18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18"/>
      <c r="AG6" s="18"/>
      <c r="AH6" s="18"/>
      <c r="AI6" s="42"/>
      <c r="AJ6" s="42"/>
      <c r="AK6" s="42"/>
      <c r="AL6" s="42"/>
      <c r="AM6" s="42"/>
      <c r="AN6" s="20"/>
      <c r="AO6" s="18"/>
      <c r="AP6" s="18"/>
      <c r="AQ6" s="18"/>
      <c r="AR6" s="18"/>
      <c r="AS6" s="18"/>
      <c r="AT6" s="18"/>
      <c r="AU6" s="18"/>
      <c r="AV6" s="18"/>
      <c r="AW6" s="18"/>
      <c r="AX6" s="19"/>
    </row>
    <row r="7" spans="1:50" x14ac:dyDescent="0.25">
      <c r="A7" s="5"/>
      <c r="B7" s="16"/>
      <c r="C7" s="41"/>
      <c r="D7" s="41"/>
      <c r="E7" s="41"/>
      <c r="F7" s="41"/>
      <c r="G7" s="41"/>
      <c r="H7" s="41"/>
      <c r="I7" s="41"/>
      <c r="J7" s="41"/>
      <c r="K7" s="41"/>
      <c r="L7" s="41"/>
      <c r="M7" s="18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18"/>
      <c r="AG7" s="18"/>
      <c r="AH7" s="18"/>
      <c r="AI7" s="42"/>
      <c r="AJ7" s="42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8"/>
      <c r="AV7" s="18"/>
      <c r="AW7" s="18"/>
      <c r="AX7" s="19"/>
    </row>
    <row r="8" spans="1:50" x14ac:dyDescent="0.25">
      <c r="A8" s="5"/>
      <c r="B8" s="16"/>
      <c r="C8" s="41"/>
      <c r="D8" s="41"/>
      <c r="E8" s="41"/>
      <c r="F8" s="41"/>
      <c r="G8" s="41"/>
      <c r="H8" s="41"/>
      <c r="I8" s="41"/>
      <c r="J8" s="41"/>
      <c r="K8" s="41"/>
      <c r="L8" s="41"/>
      <c r="M8" s="18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18"/>
      <c r="AG8" s="18"/>
      <c r="AH8" s="18"/>
      <c r="AI8" s="42"/>
      <c r="AJ8" s="42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18"/>
      <c r="AV8" s="18"/>
      <c r="AW8" s="18"/>
      <c r="AX8" s="19"/>
    </row>
    <row r="9" spans="1:50" x14ac:dyDescent="0.25">
      <c r="A9" s="5"/>
      <c r="B9" s="16"/>
      <c r="C9" s="17"/>
      <c r="D9" s="17"/>
      <c r="E9" s="17"/>
      <c r="F9" s="17"/>
      <c r="G9" s="18"/>
      <c r="H9" s="18"/>
      <c r="I9" s="18"/>
      <c r="J9" s="18"/>
      <c r="K9" s="18"/>
      <c r="L9" s="18"/>
      <c r="M9" s="18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18"/>
      <c r="AG9" s="18"/>
      <c r="AH9" s="18"/>
      <c r="AI9" s="42"/>
      <c r="AJ9" s="42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18"/>
      <c r="AV9" s="18"/>
      <c r="AW9" s="18"/>
      <c r="AX9" s="19"/>
    </row>
    <row r="10" spans="1:50" x14ac:dyDescent="0.25">
      <c r="B10" s="21"/>
      <c r="C10" s="85" t="s">
        <v>37</v>
      </c>
      <c r="D10" s="85"/>
      <c r="E10" s="85"/>
      <c r="F10" s="85"/>
      <c r="G10" s="85"/>
      <c r="H10" s="85"/>
      <c r="I10" s="85"/>
      <c r="J10" s="85"/>
      <c r="K10" s="85"/>
      <c r="L10" s="85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18"/>
      <c r="AH10" s="85" t="s">
        <v>5</v>
      </c>
      <c r="AI10" s="85"/>
      <c r="AJ10" s="85"/>
      <c r="AK10" s="85"/>
      <c r="AL10" s="44"/>
      <c r="AM10" s="83">
        <f ca="1">TODAY()</f>
        <v>44803</v>
      </c>
      <c r="AN10" s="83"/>
      <c r="AO10" s="83"/>
      <c r="AP10" s="83"/>
      <c r="AQ10" s="83"/>
      <c r="AR10" s="18"/>
      <c r="AS10" s="18"/>
      <c r="AT10" s="18"/>
      <c r="AU10" s="18"/>
      <c r="AV10" s="18"/>
      <c r="AW10" s="18"/>
      <c r="AX10" s="19"/>
    </row>
    <row r="11" spans="1:50" x14ac:dyDescent="0.25">
      <c r="B11" s="21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9"/>
    </row>
    <row r="12" spans="1:50" x14ac:dyDescent="0.25">
      <c r="B12" s="21"/>
      <c r="C12" s="85" t="s">
        <v>39</v>
      </c>
      <c r="D12" s="85"/>
      <c r="E12" s="85"/>
      <c r="F12" s="85"/>
      <c r="G12" s="85"/>
      <c r="H12" s="85"/>
      <c r="I12" s="85"/>
      <c r="J12" s="85"/>
      <c r="K12" s="85"/>
      <c r="L12" s="85"/>
      <c r="M12" s="84" t="str">
        <f>IF(M10="","",VLOOKUP(M10,'DATOS GENERALES'!$C$3:H11,6,FALSE))</f>
        <v/>
      </c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85" t="s">
        <v>6</v>
      </c>
      <c r="AI12" s="85"/>
      <c r="AJ12" s="85"/>
      <c r="AK12" s="85"/>
      <c r="AL12" s="44"/>
      <c r="AM12" s="84" t="str">
        <f>'N. FACTURACION'!C10</f>
        <v>SKL-14</v>
      </c>
      <c r="AN12" s="84"/>
      <c r="AO12" s="84"/>
      <c r="AP12" s="84"/>
      <c r="AQ12" s="84"/>
      <c r="AR12" s="18"/>
      <c r="AS12" s="18"/>
      <c r="AT12" s="18"/>
      <c r="AU12" s="18"/>
      <c r="AV12" s="18"/>
      <c r="AW12" s="18"/>
      <c r="AX12" s="19"/>
    </row>
    <row r="13" spans="1:50" x14ac:dyDescent="0.25">
      <c r="B13" s="21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9"/>
    </row>
    <row r="14" spans="1:50" x14ac:dyDescent="0.25">
      <c r="B14" s="21"/>
      <c r="C14" s="85" t="s">
        <v>38</v>
      </c>
      <c r="D14" s="85"/>
      <c r="E14" s="85"/>
      <c r="F14" s="85"/>
      <c r="G14" s="85"/>
      <c r="H14" s="85"/>
      <c r="I14" s="85"/>
      <c r="J14" s="85"/>
      <c r="K14" s="85"/>
      <c r="L14" s="85"/>
      <c r="M14" s="84" t="str">
        <f>IF(M10="","",VLOOKUP(M10,'DATOS GENERALES'!$C$3:H11,3,FALSE))</f>
        <v/>
      </c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9"/>
    </row>
    <row r="15" spans="1:50" x14ac:dyDescent="0.25">
      <c r="B15" s="21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9"/>
    </row>
    <row r="16" spans="1:50" x14ac:dyDescent="0.25">
      <c r="B16" s="21"/>
      <c r="C16" s="85" t="s">
        <v>110</v>
      </c>
      <c r="D16" s="85"/>
      <c r="E16" s="85"/>
      <c r="F16" s="85"/>
      <c r="G16" s="85"/>
      <c r="H16" s="85"/>
      <c r="I16" s="85"/>
      <c r="J16" s="85"/>
      <c r="K16" s="85"/>
      <c r="L16" s="85"/>
      <c r="M16" s="84" t="s">
        <v>117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9"/>
    </row>
    <row r="17" spans="2:51" x14ac:dyDescent="0.25">
      <c r="B17" s="22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4"/>
    </row>
    <row r="18" spans="2:51" x14ac:dyDescent="0.25">
      <c r="B18" s="76" t="s">
        <v>63</v>
      </c>
      <c r="C18" s="77"/>
      <c r="D18" s="77"/>
      <c r="E18" s="78"/>
      <c r="F18" s="76" t="s">
        <v>105</v>
      </c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8"/>
      <c r="Y18" s="74" t="s">
        <v>104</v>
      </c>
      <c r="Z18" s="74"/>
      <c r="AA18" s="74"/>
      <c r="AB18" s="74"/>
      <c r="AC18" s="74"/>
      <c r="AD18" s="76" t="s">
        <v>41</v>
      </c>
      <c r="AE18" s="77"/>
      <c r="AF18" s="77"/>
      <c r="AG18" s="77"/>
      <c r="AH18" s="78"/>
      <c r="AI18" s="76" t="s">
        <v>42</v>
      </c>
      <c r="AJ18" s="77"/>
      <c r="AK18" s="77"/>
      <c r="AL18" s="77"/>
      <c r="AM18" s="78"/>
      <c r="AN18" s="76" t="s">
        <v>43</v>
      </c>
      <c r="AO18" s="77"/>
      <c r="AP18" s="77"/>
      <c r="AQ18" s="77"/>
      <c r="AR18" s="77"/>
      <c r="AS18" s="78"/>
      <c r="AT18" s="76" t="s">
        <v>44</v>
      </c>
      <c r="AU18" s="77"/>
      <c r="AV18" s="77"/>
      <c r="AW18" s="77"/>
      <c r="AX18" s="78"/>
      <c r="AY18" s="6"/>
    </row>
    <row r="19" spans="2:51" x14ac:dyDescent="0.25">
      <c r="B19" s="80" t="str">
        <f>IF(F19="","",VLOOKUP(F19,'DATOS DE ELEMENTOS'!$B$5:F15,5,FALSE))</f>
        <v/>
      </c>
      <c r="C19" s="81"/>
      <c r="D19" s="81"/>
      <c r="E19" s="82"/>
      <c r="F19" s="56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79" t="str">
        <f>IF(F19="","",VLOOKUP(F19,'DATOS DE ELEMENTOS'!$B$4:F15,2,FALSE))</f>
        <v/>
      </c>
      <c r="Z19" s="79"/>
      <c r="AA19" s="79"/>
      <c r="AB19" s="79"/>
      <c r="AC19" s="79"/>
      <c r="AD19" s="56"/>
      <c r="AE19" s="57"/>
      <c r="AF19" s="57"/>
      <c r="AG19" s="57"/>
      <c r="AH19" s="58"/>
      <c r="AI19" s="59" t="str">
        <f>IF(F19="","",VLOOKUP(F19,'DATOS DE ELEMENTOS'!$B$5:F15,3,FALSE))</f>
        <v/>
      </c>
      <c r="AJ19" s="60"/>
      <c r="AK19" s="60"/>
      <c r="AL19" s="60"/>
      <c r="AM19" s="61"/>
      <c r="AN19" s="62" t="str">
        <f>IF(F19="","",Y19*AD19+(Y19*AD19*AI19))</f>
        <v/>
      </c>
      <c r="AO19" s="63"/>
      <c r="AP19" s="63"/>
      <c r="AQ19" s="63"/>
      <c r="AR19" s="63"/>
      <c r="AS19" s="64"/>
      <c r="AT19" s="65" t="str">
        <f>IF(F19="","",Y19*AD19*AI19)</f>
        <v/>
      </c>
      <c r="AU19" s="66"/>
      <c r="AV19" s="66"/>
      <c r="AW19" s="66"/>
      <c r="AX19" s="67"/>
    </row>
    <row r="20" spans="2:51" x14ac:dyDescent="0.25">
      <c r="B20" s="80" t="str">
        <f>IF(F20="","",VLOOKUP(F20,'DATOS DE ELEMENTOS'!$B$5:F16,5,FALSE))</f>
        <v/>
      </c>
      <c r="C20" s="81"/>
      <c r="D20" s="81"/>
      <c r="E20" s="82"/>
      <c r="F20" s="56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79" t="str">
        <f>IF(F20="","",VLOOKUP(F20,'DATOS DE ELEMENTOS'!$B$4:F16,2,FALSE))</f>
        <v/>
      </c>
      <c r="Z20" s="79"/>
      <c r="AA20" s="79"/>
      <c r="AB20" s="79"/>
      <c r="AC20" s="79"/>
      <c r="AD20" s="56"/>
      <c r="AE20" s="57"/>
      <c r="AF20" s="57"/>
      <c r="AG20" s="57"/>
      <c r="AH20" s="58"/>
      <c r="AI20" s="59" t="str">
        <f>IF(F20="","",VLOOKUP(F20,'DATOS DE ELEMENTOS'!$B$5:F16,3,FALSE))</f>
        <v/>
      </c>
      <c r="AJ20" s="60"/>
      <c r="AK20" s="60"/>
      <c r="AL20" s="60"/>
      <c r="AM20" s="61"/>
      <c r="AN20" s="62" t="str">
        <f>IF(F20="","",Y20*AD20+(Y20*AD20*AI20))</f>
        <v/>
      </c>
      <c r="AO20" s="63"/>
      <c r="AP20" s="63"/>
      <c r="AQ20" s="63"/>
      <c r="AR20" s="63"/>
      <c r="AS20" s="64"/>
      <c r="AT20" s="65" t="str">
        <f>IF(F20="","",Y20*AD20*AI20)</f>
        <v/>
      </c>
      <c r="AU20" s="66"/>
      <c r="AV20" s="66"/>
      <c r="AW20" s="66"/>
      <c r="AX20" s="67"/>
    </row>
    <row r="21" spans="2:51" x14ac:dyDescent="0.25">
      <c r="B21" s="80" t="str">
        <f>IF(F21="","",VLOOKUP(F21,'DATOS DE ELEMENTOS'!$B$5:F17,5,FALSE))</f>
        <v/>
      </c>
      <c r="C21" s="81"/>
      <c r="D21" s="81"/>
      <c r="E21" s="82"/>
      <c r="F21" s="56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79" t="str">
        <f>IF(F21="","",VLOOKUP(F21,'DATOS DE ELEMENTOS'!$B$4:F17,2,FALSE))</f>
        <v/>
      </c>
      <c r="Z21" s="79"/>
      <c r="AA21" s="79"/>
      <c r="AB21" s="79"/>
      <c r="AC21" s="79"/>
      <c r="AD21" s="56"/>
      <c r="AE21" s="57"/>
      <c r="AF21" s="57"/>
      <c r="AG21" s="57"/>
      <c r="AH21" s="58"/>
      <c r="AI21" s="59" t="str">
        <f>IF(F21="","",VLOOKUP(F21,'DATOS DE ELEMENTOS'!$B$5:F17,3,FALSE))</f>
        <v/>
      </c>
      <c r="AJ21" s="60"/>
      <c r="AK21" s="60"/>
      <c r="AL21" s="60"/>
      <c r="AM21" s="61"/>
      <c r="AN21" s="62" t="str">
        <f t="shared" ref="AN21:AN35" si="0">IF(F21="","",Y21*AD21+(Y21*AD21*AI21))</f>
        <v/>
      </c>
      <c r="AO21" s="63"/>
      <c r="AP21" s="63"/>
      <c r="AQ21" s="63"/>
      <c r="AR21" s="63"/>
      <c r="AS21" s="64"/>
      <c r="AT21" s="65" t="str">
        <f t="shared" ref="AT21:AT35" si="1">IF(F21="","",Y21*AD21*AI21)</f>
        <v/>
      </c>
      <c r="AU21" s="66"/>
      <c r="AV21" s="66"/>
      <c r="AW21" s="66"/>
      <c r="AX21" s="67"/>
    </row>
    <row r="22" spans="2:51" x14ac:dyDescent="0.25">
      <c r="B22" s="80" t="str">
        <f>IF(F22="","",VLOOKUP(F22,'DATOS DE ELEMENTOS'!$B$5:F18,5,FALSE))</f>
        <v/>
      </c>
      <c r="C22" s="81"/>
      <c r="D22" s="81"/>
      <c r="E22" s="82"/>
      <c r="F22" s="56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79" t="str">
        <f>IF(F22="","",VLOOKUP(F22,'DATOS DE ELEMENTOS'!$B$4:F18,2,FALSE))</f>
        <v/>
      </c>
      <c r="Z22" s="79"/>
      <c r="AA22" s="79"/>
      <c r="AB22" s="79"/>
      <c r="AC22" s="79"/>
      <c r="AD22" s="56"/>
      <c r="AE22" s="57"/>
      <c r="AF22" s="57"/>
      <c r="AG22" s="57"/>
      <c r="AH22" s="58"/>
      <c r="AI22" s="59" t="str">
        <f>IF(F22="","",VLOOKUP(F22,'DATOS DE ELEMENTOS'!$B$5:F18,3,FALSE))</f>
        <v/>
      </c>
      <c r="AJ22" s="60"/>
      <c r="AK22" s="60"/>
      <c r="AL22" s="60"/>
      <c r="AM22" s="61"/>
      <c r="AN22" s="62" t="str">
        <f t="shared" si="0"/>
        <v/>
      </c>
      <c r="AO22" s="63"/>
      <c r="AP22" s="63"/>
      <c r="AQ22" s="63"/>
      <c r="AR22" s="63"/>
      <c r="AS22" s="64"/>
      <c r="AT22" s="65" t="str">
        <f t="shared" si="1"/>
        <v/>
      </c>
      <c r="AU22" s="66"/>
      <c r="AV22" s="66"/>
      <c r="AW22" s="66"/>
      <c r="AX22" s="67"/>
    </row>
    <row r="23" spans="2:51" x14ac:dyDescent="0.25">
      <c r="B23" s="80" t="str">
        <f>IF(F23="","",VLOOKUP(F23,'DATOS DE ELEMENTOS'!$B$5:F19,5,FALSE))</f>
        <v/>
      </c>
      <c r="C23" s="81"/>
      <c r="D23" s="81"/>
      <c r="E23" s="82"/>
      <c r="F23" s="56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79" t="str">
        <f>IF(F23="","",VLOOKUP(F23,'DATOS DE ELEMENTOS'!$B$4:F19,2,FALSE))</f>
        <v/>
      </c>
      <c r="Z23" s="79"/>
      <c r="AA23" s="79"/>
      <c r="AB23" s="79"/>
      <c r="AC23" s="79"/>
      <c r="AD23" s="56"/>
      <c r="AE23" s="57"/>
      <c r="AF23" s="57"/>
      <c r="AG23" s="57"/>
      <c r="AH23" s="58"/>
      <c r="AI23" s="59" t="str">
        <f>IF(F23="","",VLOOKUP(F23,'DATOS DE ELEMENTOS'!$B$5:F19,3,FALSE))</f>
        <v/>
      </c>
      <c r="AJ23" s="60"/>
      <c r="AK23" s="60"/>
      <c r="AL23" s="60"/>
      <c r="AM23" s="61"/>
      <c r="AN23" s="62" t="str">
        <f t="shared" si="0"/>
        <v/>
      </c>
      <c r="AO23" s="63"/>
      <c r="AP23" s="63"/>
      <c r="AQ23" s="63"/>
      <c r="AR23" s="63"/>
      <c r="AS23" s="64"/>
      <c r="AT23" s="65" t="str">
        <f t="shared" si="1"/>
        <v/>
      </c>
      <c r="AU23" s="66"/>
      <c r="AV23" s="66"/>
      <c r="AW23" s="66"/>
      <c r="AX23" s="67"/>
    </row>
    <row r="24" spans="2:51" x14ac:dyDescent="0.25">
      <c r="B24" s="80" t="str">
        <f>IF(F24="","",VLOOKUP(F24,'DATOS DE ELEMENTOS'!$B$5:F20,5,FALSE))</f>
        <v/>
      </c>
      <c r="C24" s="81"/>
      <c r="D24" s="81"/>
      <c r="E24" s="82"/>
      <c r="F24" s="56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79" t="str">
        <f>IF(F24="","",VLOOKUP(F24,'DATOS DE ELEMENTOS'!$B$4:F20,2,FALSE))</f>
        <v/>
      </c>
      <c r="Z24" s="79"/>
      <c r="AA24" s="79"/>
      <c r="AB24" s="79"/>
      <c r="AC24" s="79"/>
      <c r="AD24" s="56"/>
      <c r="AE24" s="57"/>
      <c r="AF24" s="57"/>
      <c r="AG24" s="57"/>
      <c r="AH24" s="58"/>
      <c r="AI24" s="59" t="str">
        <f>IF(F24="","",VLOOKUP(F24,'DATOS DE ELEMENTOS'!$B$5:F20,3,FALSE))</f>
        <v/>
      </c>
      <c r="AJ24" s="60"/>
      <c r="AK24" s="60"/>
      <c r="AL24" s="60"/>
      <c r="AM24" s="61"/>
      <c r="AN24" s="62" t="str">
        <f t="shared" si="0"/>
        <v/>
      </c>
      <c r="AO24" s="63"/>
      <c r="AP24" s="63"/>
      <c r="AQ24" s="63"/>
      <c r="AR24" s="63"/>
      <c r="AS24" s="64"/>
      <c r="AT24" s="65" t="str">
        <f t="shared" si="1"/>
        <v/>
      </c>
      <c r="AU24" s="66"/>
      <c r="AV24" s="66"/>
      <c r="AW24" s="66"/>
      <c r="AX24" s="67"/>
    </row>
    <row r="25" spans="2:51" x14ac:dyDescent="0.25">
      <c r="B25" s="80" t="str">
        <f>IF(F25="","",VLOOKUP(F25,'DATOS DE ELEMENTOS'!$B$5:F21,5,FALSE))</f>
        <v/>
      </c>
      <c r="C25" s="81"/>
      <c r="D25" s="81"/>
      <c r="E25" s="82"/>
      <c r="F25" s="56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79" t="str">
        <f>IF(F25="","",VLOOKUP(F25,'DATOS DE ELEMENTOS'!$B$4:F21,2,FALSE))</f>
        <v/>
      </c>
      <c r="Z25" s="79"/>
      <c r="AA25" s="79"/>
      <c r="AB25" s="79"/>
      <c r="AC25" s="79"/>
      <c r="AD25" s="56"/>
      <c r="AE25" s="57"/>
      <c r="AF25" s="57"/>
      <c r="AG25" s="57"/>
      <c r="AH25" s="58"/>
      <c r="AI25" s="59" t="str">
        <f>IF(F25="","",VLOOKUP(F25,'DATOS DE ELEMENTOS'!$B$5:F21,3,FALSE))</f>
        <v/>
      </c>
      <c r="AJ25" s="60"/>
      <c r="AK25" s="60"/>
      <c r="AL25" s="60"/>
      <c r="AM25" s="61"/>
      <c r="AN25" s="62" t="str">
        <f t="shared" si="0"/>
        <v/>
      </c>
      <c r="AO25" s="63"/>
      <c r="AP25" s="63"/>
      <c r="AQ25" s="63"/>
      <c r="AR25" s="63"/>
      <c r="AS25" s="64"/>
      <c r="AT25" s="65" t="str">
        <f t="shared" si="1"/>
        <v/>
      </c>
      <c r="AU25" s="66"/>
      <c r="AV25" s="66"/>
      <c r="AW25" s="66"/>
      <c r="AX25" s="67"/>
    </row>
    <row r="26" spans="2:51" x14ac:dyDescent="0.25">
      <c r="B26" s="80" t="str">
        <f>IF(F26="","",VLOOKUP(F26,'DATOS DE ELEMENTOS'!$B$5:F22,5,FALSE))</f>
        <v/>
      </c>
      <c r="C26" s="81"/>
      <c r="D26" s="81"/>
      <c r="E26" s="82"/>
      <c r="F26" s="56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79" t="str">
        <f>IF(F26="","",VLOOKUP(F26,'DATOS DE ELEMENTOS'!$B$4:F22,2,FALSE))</f>
        <v/>
      </c>
      <c r="Z26" s="79"/>
      <c r="AA26" s="79"/>
      <c r="AB26" s="79"/>
      <c r="AC26" s="79"/>
      <c r="AD26" s="56"/>
      <c r="AE26" s="57"/>
      <c r="AF26" s="57"/>
      <c r="AG26" s="57"/>
      <c r="AH26" s="58"/>
      <c r="AI26" s="59" t="str">
        <f>IF(F26="","",VLOOKUP(F26,'DATOS DE ELEMENTOS'!$B$5:F22,3,FALSE))</f>
        <v/>
      </c>
      <c r="AJ26" s="60"/>
      <c r="AK26" s="60"/>
      <c r="AL26" s="60"/>
      <c r="AM26" s="61"/>
      <c r="AN26" s="62" t="str">
        <f t="shared" si="0"/>
        <v/>
      </c>
      <c r="AO26" s="63"/>
      <c r="AP26" s="63"/>
      <c r="AQ26" s="63"/>
      <c r="AR26" s="63"/>
      <c r="AS26" s="64"/>
      <c r="AT26" s="65" t="str">
        <f t="shared" si="1"/>
        <v/>
      </c>
      <c r="AU26" s="66"/>
      <c r="AV26" s="66"/>
      <c r="AW26" s="66"/>
      <c r="AX26" s="67"/>
    </row>
    <row r="27" spans="2:51" x14ac:dyDescent="0.25">
      <c r="B27" s="80" t="str">
        <f>IF(F27="","",VLOOKUP(F27,'DATOS DE ELEMENTOS'!$B$5:F23,5,FALSE))</f>
        <v/>
      </c>
      <c r="C27" s="81"/>
      <c r="D27" s="81"/>
      <c r="E27" s="82"/>
      <c r="F27" s="56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79" t="str">
        <f>IF(F27="","",VLOOKUP(F27,'DATOS DE ELEMENTOS'!$B$4:F23,2,FALSE))</f>
        <v/>
      </c>
      <c r="Z27" s="79"/>
      <c r="AA27" s="79"/>
      <c r="AB27" s="79"/>
      <c r="AC27" s="79"/>
      <c r="AD27" s="56"/>
      <c r="AE27" s="57"/>
      <c r="AF27" s="57"/>
      <c r="AG27" s="57"/>
      <c r="AH27" s="58"/>
      <c r="AI27" s="59" t="str">
        <f>IF(F27="","",VLOOKUP(F27,'DATOS DE ELEMENTOS'!$B$5:F23,3,FALSE))</f>
        <v/>
      </c>
      <c r="AJ27" s="60"/>
      <c r="AK27" s="60"/>
      <c r="AL27" s="60"/>
      <c r="AM27" s="61"/>
      <c r="AN27" s="62" t="str">
        <f t="shared" si="0"/>
        <v/>
      </c>
      <c r="AO27" s="63"/>
      <c r="AP27" s="63"/>
      <c r="AQ27" s="63"/>
      <c r="AR27" s="63"/>
      <c r="AS27" s="64"/>
      <c r="AT27" s="65" t="str">
        <f t="shared" si="1"/>
        <v/>
      </c>
      <c r="AU27" s="66"/>
      <c r="AV27" s="66"/>
      <c r="AW27" s="66"/>
      <c r="AX27" s="67"/>
    </row>
    <row r="28" spans="2:51" x14ac:dyDescent="0.25">
      <c r="B28" s="80" t="str">
        <f>IF(F28="","",VLOOKUP(F28,'DATOS DE ELEMENTOS'!$B$5:F25,5,FALSE))</f>
        <v/>
      </c>
      <c r="C28" s="81"/>
      <c r="D28" s="81"/>
      <c r="E28" s="82"/>
      <c r="F28" s="56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79" t="str">
        <f>IF(F28="","",VLOOKUP(F28,'DATOS DE ELEMENTOS'!$B$4:F25,2,FALSE))</f>
        <v/>
      </c>
      <c r="Z28" s="79"/>
      <c r="AA28" s="79"/>
      <c r="AB28" s="79"/>
      <c r="AC28" s="79"/>
      <c r="AD28" s="56"/>
      <c r="AE28" s="57"/>
      <c r="AF28" s="57"/>
      <c r="AG28" s="57"/>
      <c r="AH28" s="58"/>
      <c r="AI28" s="59" t="str">
        <f>IF(F28="","",VLOOKUP(F28,'DATOS DE ELEMENTOS'!$B$5:F25,3,FALSE))</f>
        <v/>
      </c>
      <c r="AJ28" s="60"/>
      <c r="AK28" s="60"/>
      <c r="AL28" s="60"/>
      <c r="AM28" s="61"/>
      <c r="AN28" s="62" t="str">
        <f t="shared" si="0"/>
        <v/>
      </c>
      <c r="AO28" s="63"/>
      <c r="AP28" s="63"/>
      <c r="AQ28" s="63"/>
      <c r="AR28" s="63"/>
      <c r="AS28" s="64"/>
      <c r="AT28" s="65" t="str">
        <f t="shared" si="1"/>
        <v/>
      </c>
      <c r="AU28" s="66"/>
      <c r="AV28" s="66"/>
      <c r="AW28" s="66"/>
      <c r="AX28" s="67"/>
    </row>
    <row r="29" spans="2:51" x14ac:dyDescent="0.25">
      <c r="B29" s="80" t="str">
        <f>IF(F29="","",VLOOKUP(F29,'DATOS DE ELEMENTOS'!$B$5:F26,5,FALSE))</f>
        <v/>
      </c>
      <c r="C29" s="81"/>
      <c r="D29" s="81"/>
      <c r="E29" s="82"/>
      <c r="F29" s="56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79" t="str">
        <f>IF(F29="","",VLOOKUP(F29,'DATOS DE ELEMENTOS'!$B$4:F26,2,FALSE))</f>
        <v/>
      </c>
      <c r="Z29" s="79"/>
      <c r="AA29" s="79"/>
      <c r="AB29" s="79"/>
      <c r="AC29" s="79"/>
      <c r="AD29" s="56"/>
      <c r="AE29" s="57"/>
      <c r="AF29" s="57"/>
      <c r="AG29" s="57"/>
      <c r="AH29" s="58"/>
      <c r="AI29" s="59" t="str">
        <f>IF(F29="","",VLOOKUP(F29,'DATOS DE ELEMENTOS'!$B$5:F26,3,FALSE))</f>
        <v/>
      </c>
      <c r="AJ29" s="60"/>
      <c r="AK29" s="60"/>
      <c r="AL29" s="60"/>
      <c r="AM29" s="61"/>
      <c r="AN29" s="62" t="str">
        <f t="shared" si="0"/>
        <v/>
      </c>
      <c r="AO29" s="63"/>
      <c r="AP29" s="63"/>
      <c r="AQ29" s="63"/>
      <c r="AR29" s="63"/>
      <c r="AS29" s="64"/>
      <c r="AT29" s="65" t="str">
        <f t="shared" si="1"/>
        <v/>
      </c>
      <c r="AU29" s="66"/>
      <c r="AV29" s="66"/>
      <c r="AW29" s="66"/>
      <c r="AX29" s="67"/>
    </row>
    <row r="30" spans="2:51" x14ac:dyDescent="0.25">
      <c r="B30" s="80" t="str">
        <f>IF(F30="","",VLOOKUP(F30,'DATOS DE ELEMENTOS'!$B$5:F27,5,FALSE))</f>
        <v/>
      </c>
      <c r="C30" s="81"/>
      <c r="D30" s="81"/>
      <c r="E30" s="82"/>
      <c r="F30" s="56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79" t="str">
        <f>IF(F30="","",VLOOKUP(F30,'DATOS DE ELEMENTOS'!$B$4:F27,2,FALSE))</f>
        <v/>
      </c>
      <c r="Z30" s="79"/>
      <c r="AA30" s="79"/>
      <c r="AB30" s="79"/>
      <c r="AC30" s="79"/>
      <c r="AD30" s="56"/>
      <c r="AE30" s="57"/>
      <c r="AF30" s="57"/>
      <c r="AG30" s="57"/>
      <c r="AH30" s="58"/>
      <c r="AI30" s="59" t="str">
        <f>IF(F30="","",VLOOKUP(F30,'DATOS DE ELEMENTOS'!$B$5:F27,3,FALSE))</f>
        <v/>
      </c>
      <c r="AJ30" s="60"/>
      <c r="AK30" s="60"/>
      <c r="AL30" s="60"/>
      <c r="AM30" s="61"/>
      <c r="AN30" s="62" t="str">
        <f t="shared" si="0"/>
        <v/>
      </c>
      <c r="AO30" s="63"/>
      <c r="AP30" s="63"/>
      <c r="AQ30" s="63"/>
      <c r="AR30" s="63"/>
      <c r="AS30" s="64"/>
      <c r="AT30" s="65" t="str">
        <f t="shared" si="1"/>
        <v/>
      </c>
      <c r="AU30" s="66"/>
      <c r="AV30" s="66"/>
      <c r="AW30" s="66"/>
      <c r="AX30" s="67"/>
    </row>
    <row r="31" spans="2:51" x14ac:dyDescent="0.25">
      <c r="B31" s="80" t="str">
        <f>IF(F31="","",VLOOKUP(F31,'DATOS DE ELEMENTOS'!$B$5:F28,5,FALSE))</f>
        <v/>
      </c>
      <c r="C31" s="81"/>
      <c r="D31" s="81"/>
      <c r="E31" s="82"/>
      <c r="F31" s="56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79" t="str">
        <f>IF(F31="","",VLOOKUP(F31,'DATOS DE ELEMENTOS'!$B$4:F28,2,FALSE))</f>
        <v/>
      </c>
      <c r="Z31" s="79"/>
      <c r="AA31" s="79"/>
      <c r="AB31" s="79"/>
      <c r="AC31" s="79"/>
      <c r="AD31" s="56"/>
      <c r="AE31" s="57"/>
      <c r="AF31" s="57"/>
      <c r="AG31" s="57"/>
      <c r="AH31" s="58"/>
      <c r="AI31" s="59" t="str">
        <f>IF(F31="","",VLOOKUP(F31,'DATOS DE ELEMENTOS'!$B$5:F28,3,FALSE))</f>
        <v/>
      </c>
      <c r="AJ31" s="60"/>
      <c r="AK31" s="60"/>
      <c r="AL31" s="60"/>
      <c r="AM31" s="61"/>
      <c r="AN31" s="62" t="str">
        <f t="shared" si="0"/>
        <v/>
      </c>
      <c r="AO31" s="63"/>
      <c r="AP31" s="63"/>
      <c r="AQ31" s="63"/>
      <c r="AR31" s="63"/>
      <c r="AS31" s="64"/>
      <c r="AT31" s="65" t="str">
        <f t="shared" si="1"/>
        <v/>
      </c>
      <c r="AU31" s="66"/>
      <c r="AV31" s="66"/>
      <c r="AW31" s="66"/>
      <c r="AX31" s="67"/>
    </row>
    <row r="32" spans="2:51" x14ac:dyDescent="0.25">
      <c r="B32" s="80" t="str">
        <f>IF(F32="","",VLOOKUP(F32,'DATOS DE ELEMENTOS'!$B$5:F29,5,FALSE))</f>
        <v/>
      </c>
      <c r="C32" s="81"/>
      <c r="D32" s="81"/>
      <c r="E32" s="82"/>
      <c r="F32" s="56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79" t="str">
        <f>IF(F32="","",VLOOKUP(F32,'DATOS DE ELEMENTOS'!$B$4:F29,2,FALSE))</f>
        <v/>
      </c>
      <c r="Z32" s="79"/>
      <c r="AA32" s="79"/>
      <c r="AB32" s="79"/>
      <c r="AC32" s="79"/>
      <c r="AD32" s="56"/>
      <c r="AE32" s="57"/>
      <c r="AF32" s="57"/>
      <c r="AG32" s="57"/>
      <c r="AH32" s="58"/>
      <c r="AI32" s="59" t="str">
        <f>IF(F32="","",VLOOKUP(F32,'DATOS DE ELEMENTOS'!$B$5:F29,3,FALSE))</f>
        <v/>
      </c>
      <c r="AJ32" s="60"/>
      <c r="AK32" s="60"/>
      <c r="AL32" s="60"/>
      <c r="AM32" s="61"/>
      <c r="AN32" s="62" t="str">
        <f t="shared" si="0"/>
        <v/>
      </c>
      <c r="AO32" s="63"/>
      <c r="AP32" s="63"/>
      <c r="AQ32" s="63"/>
      <c r="AR32" s="63"/>
      <c r="AS32" s="64"/>
      <c r="AT32" s="65" t="str">
        <f t="shared" si="1"/>
        <v/>
      </c>
      <c r="AU32" s="66"/>
      <c r="AV32" s="66"/>
      <c r="AW32" s="66"/>
      <c r="AX32" s="67"/>
    </row>
    <row r="33" spans="2:52" x14ac:dyDescent="0.25">
      <c r="B33" s="80" t="str">
        <f>IF(F33="","",VLOOKUP(F33,'DATOS DE ELEMENTOS'!$B$5:F30,5,FALSE))</f>
        <v/>
      </c>
      <c r="C33" s="81"/>
      <c r="D33" s="81"/>
      <c r="E33" s="82"/>
      <c r="F33" s="56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79" t="str">
        <f>IF(F33="","",VLOOKUP(F33,'DATOS DE ELEMENTOS'!$B$4:F30,2,FALSE))</f>
        <v/>
      </c>
      <c r="Z33" s="79"/>
      <c r="AA33" s="79"/>
      <c r="AB33" s="79"/>
      <c r="AC33" s="79"/>
      <c r="AD33" s="56"/>
      <c r="AE33" s="57"/>
      <c r="AF33" s="57"/>
      <c r="AG33" s="57"/>
      <c r="AH33" s="58"/>
      <c r="AI33" s="59" t="str">
        <f>IF(F33="","",VLOOKUP(F33,'DATOS DE ELEMENTOS'!$B$5:F30,3,FALSE))</f>
        <v/>
      </c>
      <c r="AJ33" s="60"/>
      <c r="AK33" s="60"/>
      <c r="AL33" s="60"/>
      <c r="AM33" s="61"/>
      <c r="AN33" s="62" t="str">
        <f t="shared" si="0"/>
        <v/>
      </c>
      <c r="AO33" s="63"/>
      <c r="AP33" s="63"/>
      <c r="AQ33" s="63"/>
      <c r="AR33" s="63"/>
      <c r="AS33" s="64"/>
      <c r="AT33" s="65" t="str">
        <f t="shared" si="1"/>
        <v/>
      </c>
      <c r="AU33" s="66"/>
      <c r="AV33" s="66"/>
      <c r="AW33" s="66"/>
      <c r="AX33" s="67"/>
    </row>
    <row r="34" spans="2:52" x14ac:dyDescent="0.25">
      <c r="B34" s="80" t="str">
        <f>IF(F34="","",VLOOKUP(F34,'DATOS DE ELEMENTOS'!$B$5:F31,5,FALSE))</f>
        <v/>
      </c>
      <c r="C34" s="81"/>
      <c r="D34" s="81"/>
      <c r="E34" s="82"/>
      <c r="F34" s="56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79" t="str">
        <f>IF(F34="","",VLOOKUP(F34,'DATOS DE ELEMENTOS'!$B$4:F31,2,FALSE))</f>
        <v/>
      </c>
      <c r="Z34" s="79"/>
      <c r="AA34" s="79"/>
      <c r="AB34" s="79"/>
      <c r="AC34" s="79"/>
      <c r="AD34" s="56"/>
      <c r="AE34" s="57"/>
      <c r="AF34" s="57"/>
      <c r="AG34" s="57"/>
      <c r="AH34" s="58"/>
      <c r="AI34" s="59" t="str">
        <f>IF(F34="","",VLOOKUP(F34,'DATOS DE ELEMENTOS'!$B$5:F31,3,FALSE))</f>
        <v/>
      </c>
      <c r="AJ34" s="60"/>
      <c r="AK34" s="60"/>
      <c r="AL34" s="60"/>
      <c r="AM34" s="61"/>
      <c r="AN34" s="62" t="str">
        <f t="shared" si="0"/>
        <v/>
      </c>
      <c r="AO34" s="63"/>
      <c r="AP34" s="63"/>
      <c r="AQ34" s="63"/>
      <c r="AR34" s="63"/>
      <c r="AS34" s="64"/>
      <c r="AT34" s="65" t="str">
        <f>IF(F34="","",Y34*AD34*AI34)</f>
        <v/>
      </c>
      <c r="AU34" s="66"/>
      <c r="AV34" s="66"/>
      <c r="AW34" s="66"/>
      <c r="AX34" s="67"/>
    </row>
    <row r="35" spans="2:52" x14ac:dyDescent="0.25">
      <c r="B35" s="80" t="str">
        <f>IF(F35="","",VLOOKUP(F35,'DATOS DE ELEMENTOS'!$B$5:F32,5,FALSE))</f>
        <v/>
      </c>
      <c r="C35" s="81"/>
      <c r="D35" s="81"/>
      <c r="E35" s="82"/>
      <c r="F35" s="56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79" t="str">
        <f>IF(F35="","",VLOOKUP(F35,'DATOS DE ELEMENTOS'!$B$4:F32,2,FALSE))</f>
        <v/>
      </c>
      <c r="Z35" s="79"/>
      <c r="AA35" s="79"/>
      <c r="AB35" s="79"/>
      <c r="AC35" s="79"/>
      <c r="AD35" s="56"/>
      <c r="AE35" s="57"/>
      <c r="AF35" s="57"/>
      <c r="AG35" s="57"/>
      <c r="AH35" s="58"/>
      <c r="AI35" s="59" t="str">
        <f>IF(F35="","",VLOOKUP(F35,'DATOS DE ELEMENTOS'!$B$5:F32,3,FALSE))</f>
        <v/>
      </c>
      <c r="AJ35" s="60"/>
      <c r="AK35" s="60"/>
      <c r="AL35" s="60"/>
      <c r="AM35" s="61"/>
      <c r="AN35" s="62" t="str">
        <f t="shared" si="0"/>
        <v/>
      </c>
      <c r="AO35" s="63"/>
      <c r="AP35" s="63"/>
      <c r="AQ35" s="63"/>
      <c r="AR35" s="63"/>
      <c r="AS35" s="64"/>
      <c r="AT35" s="65" t="str">
        <f t="shared" si="1"/>
        <v/>
      </c>
      <c r="AU35" s="66"/>
      <c r="AV35" s="66"/>
      <c r="AW35" s="66"/>
      <c r="AX35" s="67"/>
      <c r="AZ35" s="43" t="s">
        <v>118</v>
      </c>
    </row>
    <row r="36" spans="2:52" x14ac:dyDescent="0.25">
      <c r="B36" s="76" t="s">
        <v>106</v>
      </c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8"/>
      <c r="AN36" s="86" t="str">
        <f>IF(F19="","",SUM(AN19:AS35)-SUM(AT19:AX35))</f>
        <v/>
      </c>
      <c r="AO36" s="87"/>
      <c r="AP36" s="87"/>
      <c r="AQ36" s="87"/>
      <c r="AR36" s="87"/>
      <c r="AS36" s="87"/>
      <c r="AT36" s="87"/>
      <c r="AU36" s="87"/>
      <c r="AV36" s="87"/>
      <c r="AW36" s="87"/>
      <c r="AX36" s="88"/>
      <c r="AZ36" s="3">
        <v>1145</v>
      </c>
    </row>
    <row r="37" spans="2:52" x14ac:dyDescent="0.25">
      <c r="B37" s="74" t="s">
        <v>45</v>
      </c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89" t="str">
        <f>IF(F19="","",SUM(AT19:AX35))</f>
        <v/>
      </c>
      <c r="AO37" s="90"/>
      <c r="AP37" s="90"/>
      <c r="AQ37" s="90"/>
      <c r="AR37" s="90"/>
      <c r="AS37" s="90"/>
      <c r="AT37" s="90"/>
      <c r="AU37" s="90"/>
      <c r="AV37" s="90"/>
      <c r="AW37" s="90"/>
      <c r="AX37" s="91"/>
      <c r="AZ37" s="3">
        <v>3246</v>
      </c>
    </row>
    <row r="38" spans="2:52" x14ac:dyDescent="0.25">
      <c r="B38" s="74" t="s">
        <v>46</v>
      </c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5" t="str">
        <f>IF(F19="","",IF(AN36&gt;10000000,"20%",IF(AN36&gt;=3000000,"10"%,)))</f>
        <v/>
      </c>
      <c r="AJ38" s="75"/>
      <c r="AK38" s="75"/>
      <c r="AL38" s="75"/>
      <c r="AM38" s="75"/>
      <c r="AN38" s="92" t="str">
        <f>IF(F19="","",AN36*AI38)</f>
        <v/>
      </c>
      <c r="AO38" s="90"/>
      <c r="AP38" s="90"/>
      <c r="AQ38" s="90"/>
      <c r="AR38" s="90"/>
      <c r="AS38" s="90"/>
      <c r="AT38" s="90"/>
      <c r="AU38" s="90"/>
      <c r="AV38" s="90"/>
      <c r="AW38" s="90"/>
      <c r="AX38" s="91"/>
      <c r="AZ38" s="3">
        <v>2893</v>
      </c>
    </row>
    <row r="39" spans="2:52" x14ac:dyDescent="0.25">
      <c r="B39" s="74" t="s">
        <v>107</v>
      </c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92" t="str">
        <f>IF(F19="","",AN36+AN37-AN38)</f>
        <v/>
      </c>
      <c r="AO39" s="90"/>
      <c r="AP39" s="90"/>
      <c r="AQ39" s="90"/>
      <c r="AR39" s="90"/>
      <c r="AS39" s="90"/>
      <c r="AT39" s="90"/>
      <c r="AU39" s="90"/>
      <c r="AV39" s="90"/>
      <c r="AW39" s="90"/>
      <c r="AX39" s="91"/>
      <c r="AZ39" s="3">
        <v>3975</v>
      </c>
    </row>
    <row r="40" spans="2:52" x14ac:dyDescent="0.25"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</row>
    <row r="41" spans="2:52" x14ac:dyDescent="0.25"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</row>
  </sheetData>
  <mergeCells count="151">
    <mergeCell ref="AM10:AQ10"/>
    <mergeCell ref="AM12:AQ12"/>
    <mergeCell ref="AH10:AK10"/>
    <mergeCell ref="AH12:AK12"/>
    <mergeCell ref="C16:L16"/>
    <mergeCell ref="AN36:AX36"/>
    <mergeCell ref="AN37:AX37"/>
    <mergeCell ref="AN38:AX38"/>
    <mergeCell ref="AN39:AX39"/>
    <mergeCell ref="C10:L10"/>
    <mergeCell ref="C12:L12"/>
    <mergeCell ref="C14:L14"/>
    <mergeCell ref="M14:W14"/>
    <mergeCell ref="M16:AF16"/>
    <mergeCell ref="M10:AF10"/>
    <mergeCell ref="M12:W12"/>
    <mergeCell ref="AN20:AS20"/>
    <mergeCell ref="AT20:AX20"/>
    <mergeCell ref="B21:E21"/>
    <mergeCell ref="AD21:AH21"/>
    <mergeCell ref="AI21:AM21"/>
    <mergeCell ref="AN21:AS21"/>
    <mergeCell ref="AT21:AX21"/>
    <mergeCell ref="AN18:AS18"/>
    <mergeCell ref="AT18:AX18"/>
    <mergeCell ref="B18:E18"/>
    <mergeCell ref="B19:E19"/>
    <mergeCell ref="AD19:AH19"/>
    <mergeCell ref="AI19:AM19"/>
    <mergeCell ref="AN19:AS19"/>
    <mergeCell ref="AT19:AX19"/>
    <mergeCell ref="B20:E20"/>
    <mergeCell ref="AD20:AH20"/>
    <mergeCell ref="AI20:AM20"/>
    <mergeCell ref="AD18:AH18"/>
    <mergeCell ref="AI18:AM18"/>
    <mergeCell ref="AT22:AX22"/>
    <mergeCell ref="Y21:AC21"/>
    <mergeCell ref="B23:E23"/>
    <mergeCell ref="AD23:AH23"/>
    <mergeCell ref="AI23:AM23"/>
    <mergeCell ref="AN23:AS23"/>
    <mergeCell ref="AT23:AX23"/>
    <mergeCell ref="B22:E22"/>
    <mergeCell ref="AD22:AH22"/>
    <mergeCell ref="AI22:AM22"/>
    <mergeCell ref="AN22:AS22"/>
    <mergeCell ref="Y23:AC23"/>
    <mergeCell ref="F22:X22"/>
    <mergeCell ref="Y22:AC22"/>
    <mergeCell ref="F23:X23"/>
    <mergeCell ref="AT24:AX24"/>
    <mergeCell ref="B25:E25"/>
    <mergeCell ref="AD25:AH25"/>
    <mergeCell ref="AI25:AM25"/>
    <mergeCell ref="AN25:AS25"/>
    <mergeCell ref="AT25:AX25"/>
    <mergeCell ref="Y25:AC25"/>
    <mergeCell ref="B24:E24"/>
    <mergeCell ref="AD24:AH24"/>
    <mergeCell ref="AI24:AM24"/>
    <mergeCell ref="AN24:AS24"/>
    <mergeCell ref="F24:X24"/>
    <mergeCell ref="Y24:AC24"/>
    <mergeCell ref="F25:X25"/>
    <mergeCell ref="AT26:AX26"/>
    <mergeCell ref="B27:E27"/>
    <mergeCell ref="AD27:AH27"/>
    <mergeCell ref="AI27:AM27"/>
    <mergeCell ref="AN27:AS27"/>
    <mergeCell ref="AT27:AX27"/>
    <mergeCell ref="F26:X26"/>
    <mergeCell ref="Y26:AC26"/>
    <mergeCell ref="F27:X27"/>
    <mergeCell ref="Y27:AC27"/>
    <mergeCell ref="B26:E26"/>
    <mergeCell ref="AD26:AH26"/>
    <mergeCell ref="AI26:AM26"/>
    <mergeCell ref="AN26:AS26"/>
    <mergeCell ref="AT28:AX28"/>
    <mergeCell ref="B29:E29"/>
    <mergeCell ref="AD29:AH29"/>
    <mergeCell ref="AI29:AM29"/>
    <mergeCell ref="AN29:AS29"/>
    <mergeCell ref="AT29:AX29"/>
    <mergeCell ref="F28:X28"/>
    <mergeCell ref="Y28:AC28"/>
    <mergeCell ref="F29:X29"/>
    <mergeCell ref="Y29:AC29"/>
    <mergeCell ref="B28:E28"/>
    <mergeCell ref="AD28:AH28"/>
    <mergeCell ref="AI28:AM28"/>
    <mergeCell ref="AN28:AS28"/>
    <mergeCell ref="F32:X32"/>
    <mergeCell ref="Y32:AC32"/>
    <mergeCell ref="F33:X33"/>
    <mergeCell ref="Y33:AC33"/>
    <mergeCell ref="B32:E32"/>
    <mergeCell ref="AD32:AH32"/>
    <mergeCell ref="AI32:AM32"/>
    <mergeCell ref="AN32:AS32"/>
    <mergeCell ref="AT30:AX30"/>
    <mergeCell ref="B31:E31"/>
    <mergeCell ref="AD31:AH31"/>
    <mergeCell ref="AI31:AM31"/>
    <mergeCell ref="AN31:AS31"/>
    <mergeCell ref="AT31:AX31"/>
    <mergeCell ref="F30:X30"/>
    <mergeCell ref="Y30:AC30"/>
    <mergeCell ref="F31:X31"/>
    <mergeCell ref="Y31:AC31"/>
    <mergeCell ref="B30:E30"/>
    <mergeCell ref="AD30:AH30"/>
    <mergeCell ref="AI30:AM30"/>
    <mergeCell ref="AN30:AS30"/>
    <mergeCell ref="AT32:AX32"/>
    <mergeCell ref="B33:E33"/>
    <mergeCell ref="AN35:AS35"/>
    <mergeCell ref="AT35:AX35"/>
    <mergeCell ref="F34:X34"/>
    <mergeCell ref="Y34:AC34"/>
    <mergeCell ref="F35:X35"/>
    <mergeCell ref="Y35:AC35"/>
    <mergeCell ref="B34:E34"/>
    <mergeCell ref="AD34:AH34"/>
    <mergeCell ref="AI34:AM34"/>
    <mergeCell ref="AN34:AS34"/>
    <mergeCell ref="AD33:AH33"/>
    <mergeCell ref="AI33:AM33"/>
    <mergeCell ref="AN33:AS33"/>
    <mergeCell ref="AT33:AX33"/>
    <mergeCell ref="B4:AX4"/>
    <mergeCell ref="B5:AX5"/>
    <mergeCell ref="B2:AX3"/>
    <mergeCell ref="B40:AX41"/>
    <mergeCell ref="B39:AM39"/>
    <mergeCell ref="AI38:AM38"/>
    <mergeCell ref="B37:AM37"/>
    <mergeCell ref="B38:AH38"/>
    <mergeCell ref="B36:AM36"/>
    <mergeCell ref="F18:X18"/>
    <mergeCell ref="Y18:AC18"/>
    <mergeCell ref="F19:X19"/>
    <mergeCell ref="Y19:AC19"/>
    <mergeCell ref="F20:X20"/>
    <mergeCell ref="Y20:AC20"/>
    <mergeCell ref="F21:X21"/>
    <mergeCell ref="AT34:AX34"/>
    <mergeCell ref="B35:E35"/>
    <mergeCell ref="AD35:AH35"/>
    <mergeCell ref="AI35:AM3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10EABB7-B8FB-45CE-8633-3F3A2B27EA13}">
          <x14:formula1>
            <xm:f>'DATOS GENERALES'!$C$4:$C$11</xm:f>
          </x14:formula1>
          <xm:sqref>M10:AF10</xm:sqref>
        </x14:dataValidation>
        <x14:dataValidation type="list" allowBlank="1" showInputMessage="1" showErrorMessage="1" xr:uid="{FA28CC19-C007-4C81-83C9-79EAC919FE3B}">
          <x14:formula1>
            <xm:f>'DATOS DE ELEMENTOS'!$B$5:$B$15</xm:f>
          </x14:formula1>
          <xm:sqref>F19:X35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02F7-D522-4370-86E3-CA5796C6F5E1}">
  <sheetPr codeName="Hoja8"/>
  <dimension ref="A2:I97"/>
  <sheetViews>
    <sheetView workbookViewId="0">
      <selection activeCell="M8" sqref="M8"/>
    </sheetView>
  </sheetViews>
  <sheetFormatPr baseColWidth="10" defaultRowHeight="15" x14ac:dyDescent="0.25"/>
  <cols>
    <col min="2" max="2" width="12.42578125" customWidth="1"/>
    <col min="3" max="3" width="13.140625" style="45" customWidth="1"/>
    <col min="4" max="4" width="44.7109375" customWidth="1"/>
    <col min="5" max="6" width="12.5703125" customWidth="1"/>
  </cols>
  <sheetData>
    <row r="2" spans="1:9" x14ac:dyDescent="0.25">
      <c r="B2" s="51" t="s">
        <v>112</v>
      </c>
      <c r="C2" s="47" t="s">
        <v>111</v>
      </c>
      <c r="D2" s="48" t="s">
        <v>103</v>
      </c>
      <c r="E2" s="48" t="s">
        <v>113</v>
      </c>
      <c r="F2" s="48" t="s">
        <v>116</v>
      </c>
      <c r="G2" s="48" t="s">
        <v>114</v>
      </c>
      <c r="H2" s="48" t="s">
        <v>115</v>
      </c>
    </row>
    <row r="3" spans="1:9" x14ac:dyDescent="0.25">
      <c r="B3" s="3"/>
      <c r="C3" s="46"/>
      <c r="D3" s="3"/>
      <c r="E3" s="3"/>
      <c r="F3" s="3"/>
      <c r="G3" s="3"/>
      <c r="H3" s="3"/>
    </row>
    <row r="4" spans="1:9" x14ac:dyDescent="0.25">
      <c r="B4" s="3"/>
      <c r="C4" s="46"/>
      <c r="D4" s="3"/>
      <c r="E4" s="3"/>
      <c r="F4" s="3"/>
      <c r="G4" s="3"/>
      <c r="H4" s="3"/>
    </row>
    <row r="5" spans="1:9" x14ac:dyDescent="0.25">
      <c r="B5" s="3"/>
      <c r="C5" s="46"/>
      <c r="D5" s="3"/>
      <c r="E5" s="3"/>
      <c r="F5" s="3"/>
      <c r="G5" s="3"/>
      <c r="H5" s="3"/>
    </row>
    <row r="6" spans="1:9" x14ac:dyDescent="0.25">
      <c r="B6" s="3"/>
      <c r="C6" s="46"/>
      <c r="D6" s="3"/>
      <c r="E6" s="3"/>
      <c r="F6" s="3"/>
      <c r="G6" s="3"/>
      <c r="H6" s="3"/>
    </row>
    <row r="7" spans="1:9" x14ac:dyDescent="0.25">
      <c r="B7" s="3"/>
      <c r="C7" s="46"/>
      <c r="D7" s="3"/>
      <c r="E7" s="3"/>
      <c r="F7" s="3"/>
      <c r="G7" s="3"/>
      <c r="H7" s="3"/>
    </row>
    <row r="8" spans="1:9" x14ac:dyDescent="0.25">
      <c r="B8" s="3"/>
      <c r="C8" s="46"/>
      <c r="D8" s="3"/>
      <c r="E8" s="3"/>
      <c r="F8" s="3"/>
      <c r="G8" s="3"/>
      <c r="H8" s="3"/>
    </row>
    <row r="9" spans="1:9" x14ac:dyDescent="0.25">
      <c r="B9" s="3"/>
      <c r="C9" s="46"/>
      <c r="D9" s="3"/>
      <c r="E9" s="3"/>
      <c r="F9" s="3"/>
      <c r="G9" s="3"/>
      <c r="H9" s="3"/>
    </row>
    <row r="10" spans="1:9" x14ac:dyDescent="0.25">
      <c r="B10" s="3"/>
      <c r="C10" s="46"/>
      <c r="D10" s="3"/>
      <c r="E10" s="3"/>
      <c r="F10" s="3"/>
      <c r="G10" s="3"/>
      <c r="H10" s="3"/>
    </row>
    <row r="11" spans="1:9" x14ac:dyDescent="0.25">
      <c r="B11" s="3"/>
      <c r="C11" s="46"/>
      <c r="D11" s="3"/>
      <c r="E11" s="3"/>
      <c r="F11" s="3"/>
      <c r="G11" s="3"/>
      <c r="H11" s="3"/>
    </row>
    <row r="12" spans="1:9" x14ac:dyDescent="0.25">
      <c r="A12" s="55"/>
      <c r="B12" s="3"/>
      <c r="C12" s="46"/>
      <c r="D12" s="3"/>
      <c r="E12" s="3"/>
      <c r="F12" s="3"/>
      <c r="G12" s="3"/>
      <c r="H12" s="3"/>
      <c r="I12" s="55"/>
    </row>
    <row r="13" spans="1:9" x14ac:dyDescent="0.25">
      <c r="A13" s="55"/>
      <c r="B13" s="3"/>
      <c r="C13" s="46"/>
      <c r="D13" s="3"/>
      <c r="E13" s="3"/>
      <c r="F13" s="3"/>
      <c r="G13" s="3"/>
      <c r="H13" s="3"/>
      <c r="I13" s="55"/>
    </row>
    <row r="14" spans="1:9" x14ac:dyDescent="0.25">
      <c r="A14" s="55"/>
      <c r="B14" s="3"/>
      <c r="C14" s="46"/>
      <c r="D14" s="3"/>
      <c r="E14" s="3"/>
      <c r="F14" s="3"/>
      <c r="G14" s="3"/>
      <c r="H14" s="3"/>
      <c r="I14" s="55"/>
    </row>
    <row r="15" spans="1:9" x14ac:dyDescent="0.25">
      <c r="A15" s="55"/>
      <c r="B15" s="52"/>
      <c r="C15" s="53"/>
      <c r="D15" s="50"/>
      <c r="E15" s="50"/>
      <c r="F15" s="50"/>
      <c r="G15" s="50"/>
      <c r="H15" s="50"/>
      <c r="I15" s="55"/>
    </row>
    <row r="16" spans="1:9" x14ac:dyDescent="0.25">
      <c r="A16" s="55"/>
      <c r="B16" s="52"/>
      <c r="C16" s="53"/>
      <c r="D16" s="50"/>
      <c r="E16" s="50"/>
      <c r="F16" s="50"/>
      <c r="G16" s="50"/>
      <c r="H16" s="50"/>
      <c r="I16" s="55"/>
    </row>
    <row r="17" spans="1:9" x14ac:dyDescent="0.25">
      <c r="A17" s="55"/>
      <c r="B17" s="52"/>
      <c r="C17" s="53"/>
      <c r="D17" s="50"/>
      <c r="E17" s="50"/>
      <c r="F17" s="50"/>
      <c r="G17" s="50"/>
      <c r="H17" s="50"/>
      <c r="I17" s="55"/>
    </row>
    <row r="18" spans="1:9" x14ac:dyDescent="0.25">
      <c r="A18" s="55"/>
      <c r="B18" s="52"/>
      <c r="C18" s="53"/>
      <c r="D18" s="50"/>
      <c r="E18" s="50"/>
      <c r="F18" s="50"/>
      <c r="G18" s="50"/>
      <c r="H18" s="50"/>
      <c r="I18" s="55"/>
    </row>
    <row r="19" spans="1:9" x14ac:dyDescent="0.25">
      <c r="A19" s="55"/>
      <c r="B19" s="52"/>
      <c r="C19" s="53"/>
      <c r="D19" s="50"/>
      <c r="E19" s="50"/>
      <c r="F19" s="50"/>
      <c r="G19" s="50"/>
      <c r="H19" s="50"/>
      <c r="I19" s="55"/>
    </row>
    <row r="20" spans="1:9" x14ac:dyDescent="0.25">
      <c r="A20" s="55"/>
      <c r="B20" s="52"/>
      <c r="C20" s="53"/>
      <c r="D20" s="50"/>
      <c r="E20" s="50"/>
      <c r="F20" s="50"/>
      <c r="G20" s="50"/>
      <c r="H20" s="50"/>
      <c r="I20" s="55"/>
    </row>
    <row r="21" spans="1:9" x14ac:dyDescent="0.25">
      <c r="A21" s="55"/>
      <c r="B21" s="52"/>
      <c r="C21" s="53"/>
      <c r="D21" s="50"/>
      <c r="E21" s="50"/>
      <c r="F21" s="50"/>
      <c r="G21" s="50"/>
      <c r="H21" s="50"/>
    </row>
    <row r="22" spans="1:9" x14ac:dyDescent="0.25">
      <c r="B22" s="52"/>
      <c r="C22" s="53"/>
      <c r="D22" s="50"/>
      <c r="E22" s="50"/>
      <c r="F22" s="50"/>
      <c r="G22" s="50"/>
      <c r="H22" s="50"/>
    </row>
    <row r="23" spans="1:9" x14ac:dyDescent="0.25">
      <c r="B23" s="52"/>
      <c r="C23" s="53"/>
      <c r="D23" s="50"/>
      <c r="E23" s="50"/>
      <c r="F23" s="50"/>
      <c r="G23" s="50"/>
      <c r="H23" s="50"/>
    </row>
    <row r="24" spans="1:9" x14ac:dyDescent="0.25">
      <c r="B24" s="52"/>
      <c r="C24" s="53"/>
      <c r="D24" s="50"/>
      <c r="E24" s="50"/>
      <c r="F24" s="50"/>
      <c r="G24" s="50"/>
      <c r="H24" s="50"/>
    </row>
    <row r="25" spans="1:9" x14ac:dyDescent="0.25">
      <c r="B25" s="52"/>
      <c r="C25" s="53"/>
      <c r="D25" s="50"/>
      <c r="E25" s="50"/>
      <c r="F25" s="50"/>
      <c r="G25" s="50"/>
      <c r="H25" s="50"/>
    </row>
    <row r="26" spans="1:9" x14ac:dyDescent="0.25">
      <c r="B26" s="52"/>
      <c r="C26" s="53"/>
      <c r="D26" s="50"/>
      <c r="E26" s="50"/>
      <c r="F26" s="50"/>
      <c r="G26" s="50"/>
      <c r="H26" s="50"/>
    </row>
    <row r="27" spans="1:9" x14ac:dyDescent="0.25">
      <c r="B27" s="52"/>
      <c r="C27" s="53"/>
      <c r="D27" s="50"/>
      <c r="E27" s="50"/>
      <c r="F27" s="50"/>
      <c r="G27" s="50"/>
      <c r="H27" s="50"/>
    </row>
    <row r="28" spans="1:9" x14ac:dyDescent="0.25">
      <c r="B28" s="52"/>
      <c r="C28" s="53"/>
      <c r="D28" s="50"/>
      <c r="E28" s="50"/>
      <c r="F28" s="50"/>
      <c r="G28" s="50"/>
      <c r="H28" s="50"/>
    </row>
    <row r="29" spans="1:9" x14ac:dyDescent="0.25">
      <c r="B29" s="52"/>
      <c r="C29" s="53"/>
      <c r="D29" s="50"/>
      <c r="E29" s="50"/>
      <c r="F29" s="50"/>
      <c r="G29" s="50"/>
      <c r="H29" s="50"/>
    </row>
    <row r="30" spans="1:9" x14ac:dyDescent="0.25">
      <c r="B30" s="52"/>
      <c r="C30" s="53"/>
      <c r="D30" s="50"/>
      <c r="E30" s="50"/>
      <c r="F30" s="50"/>
      <c r="G30" s="50"/>
      <c r="H30" s="50"/>
    </row>
    <row r="31" spans="1:9" x14ac:dyDescent="0.25">
      <c r="B31" s="52"/>
      <c r="C31" s="53"/>
      <c r="D31" s="50"/>
      <c r="E31" s="50"/>
      <c r="F31" s="50"/>
      <c r="G31" s="50"/>
      <c r="H31" s="50"/>
    </row>
    <row r="32" spans="1:9" x14ac:dyDescent="0.25">
      <c r="B32" s="52"/>
      <c r="C32" s="53"/>
      <c r="D32" s="50"/>
      <c r="E32" s="50"/>
      <c r="F32" s="50"/>
      <c r="G32" s="50"/>
      <c r="H32" s="50"/>
    </row>
    <row r="33" spans="2:8" x14ac:dyDescent="0.25">
      <c r="B33" s="52"/>
      <c r="C33" s="53"/>
      <c r="D33" s="50"/>
      <c r="E33" s="50"/>
      <c r="F33" s="50"/>
      <c r="G33" s="50"/>
      <c r="H33" s="50"/>
    </row>
    <row r="34" spans="2:8" x14ac:dyDescent="0.25">
      <c r="B34" s="52"/>
      <c r="C34" s="53"/>
      <c r="D34" s="50"/>
      <c r="E34" s="50"/>
      <c r="F34" s="50"/>
      <c r="G34" s="50"/>
      <c r="H34" s="50"/>
    </row>
    <row r="35" spans="2:8" x14ac:dyDescent="0.25">
      <c r="B35" s="52"/>
      <c r="C35" s="53"/>
      <c r="D35" s="50"/>
      <c r="E35" s="50"/>
      <c r="F35" s="50"/>
      <c r="G35" s="50"/>
      <c r="H35" s="50"/>
    </row>
    <row r="36" spans="2:8" x14ac:dyDescent="0.25">
      <c r="B36" s="52"/>
      <c r="C36" s="53"/>
      <c r="D36" s="50"/>
      <c r="E36" s="50"/>
      <c r="F36" s="50"/>
      <c r="G36" s="50"/>
      <c r="H36" s="50"/>
    </row>
    <row r="37" spans="2:8" x14ac:dyDescent="0.25">
      <c r="B37" s="52"/>
      <c r="C37" s="53"/>
      <c r="D37" s="50"/>
      <c r="E37" s="50"/>
      <c r="F37" s="50"/>
      <c r="G37" s="50"/>
      <c r="H37" s="50"/>
    </row>
    <row r="38" spans="2:8" x14ac:dyDescent="0.25">
      <c r="B38" s="52"/>
      <c r="C38" s="53"/>
      <c r="D38" s="50"/>
      <c r="E38" s="50"/>
      <c r="F38" s="50"/>
      <c r="G38" s="50"/>
      <c r="H38" s="50"/>
    </row>
    <row r="39" spans="2:8" x14ac:dyDescent="0.25">
      <c r="B39" s="52"/>
      <c r="C39" s="53"/>
      <c r="D39" s="50"/>
      <c r="E39" s="50"/>
      <c r="F39" s="50"/>
      <c r="G39" s="50"/>
      <c r="H39" s="50"/>
    </row>
    <row r="40" spans="2:8" x14ac:dyDescent="0.25">
      <c r="B40" s="52"/>
      <c r="C40" s="53"/>
      <c r="D40" s="50"/>
      <c r="E40" s="50"/>
      <c r="F40" s="50"/>
      <c r="G40" s="50"/>
      <c r="H40" s="50"/>
    </row>
    <row r="41" spans="2:8" x14ac:dyDescent="0.25">
      <c r="B41" s="52"/>
      <c r="C41" s="53"/>
      <c r="D41" s="50"/>
      <c r="E41" s="50"/>
      <c r="F41" s="50"/>
      <c r="G41" s="50"/>
      <c r="H41" s="50"/>
    </row>
    <row r="42" spans="2:8" x14ac:dyDescent="0.25">
      <c r="B42" s="52"/>
      <c r="C42" s="53"/>
      <c r="D42" s="50"/>
      <c r="E42" s="50"/>
      <c r="F42" s="50"/>
      <c r="G42" s="50"/>
      <c r="H42" s="50"/>
    </row>
    <row r="43" spans="2:8" x14ac:dyDescent="0.25">
      <c r="B43" s="52"/>
      <c r="C43" s="53"/>
      <c r="D43" s="50"/>
      <c r="E43" s="50"/>
      <c r="F43" s="50"/>
      <c r="G43" s="50"/>
      <c r="H43" s="50"/>
    </row>
    <row r="44" spans="2:8" x14ac:dyDescent="0.25">
      <c r="B44" s="52"/>
      <c r="C44" s="53"/>
      <c r="D44" s="50"/>
      <c r="E44" s="50"/>
      <c r="F44" s="50"/>
      <c r="G44" s="50"/>
      <c r="H44" s="50"/>
    </row>
    <row r="45" spans="2:8" x14ac:dyDescent="0.25">
      <c r="B45" s="52"/>
      <c r="C45" s="53"/>
      <c r="D45" s="50"/>
      <c r="E45" s="50"/>
      <c r="F45" s="50"/>
      <c r="G45" s="50"/>
      <c r="H45" s="50"/>
    </row>
    <row r="46" spans="2:8" x14ac:dyDescent="0.25">
      <c r="B46" s="52"/>
      <c r="C46" s="53"/>
      <c r="D46" s="50"/>
      <c r="E46" s="50"/>
      <c r="F46" s="50"/>
      <c r="G46" s="50"/>
      <c r="H46" s="50"/>
    </row>
    <row r="47" spans="2:8" x14ac:dyDescent="0.25">
      <c r="B47" s="52"/>
      <c r="C47" s="53"/>
      <c r="D47" s="50"/>
      <c r="E47" s="50"/>
      <c r="F47" s="50"/>
      <c r="G47" s="50"/>
      <c r="H47" s="50"/>
    </row>
    <row r="48" spans="2:8" x14ac:dyDescent="0.25">
      <c r="B48" s="52"/>
      <c r="C48" s="53"/>
      <c r="D48" s="50"/>
      <c r="E48" s="50"/>
      <c r="F48" s="50"/>
      <c r="G48" s="50"/>
      <c r="H48" s="50"/>
    </row>
    <row r="49" spans="2:8" x14ac:dyDescent="0.25">
      <c r="B49" s="52"/>
      <c r="C49" s="53"/>
      <c r="D49" s="50"/>
      <c r="E49" s="50"/>
      <c r="F49" s="50"/>
      <c r="G49" s="50"/>
      <c r="H49" s="50"/>
    </row>
    <row r="50" spans="2:8" x14ac:dyDescent="0.25">
      <c r="B50" s="52"/>
      <c r="C50" s="53"/>
      <c r="D50" s="50"/>
      <c r="E50" s="50"/>
      <c r="F50" s="50"/>
      <c r="G50" s="50"/>
      <c r="H50" s="50"/>
    </row>
    <row r="51" spans="2:8" x14ac:dyDescent="0.25">
      <c r="B51" s="52"/>
      <c r="C51" s="53"/>
      <c r="D51" s="50"/>
      <c r="E51" s="50"/>
      <c r="F51" s="50"/>
      <c r="G51" s="50"/>
      <c r="H51" s="50"/>
    </row>
    <row r="52" spans="2:8" x14ac:dyDescent="0.25">
      <c r="B52" s="52"/>
      <c r="C52" s="53"/>
      <c r="D52" s="50"/>
      <c r="E52" s="50"/>
      <c r="F52" s="50"/>
      <c r="G52" s="50"/>
      <c r="H52" s="50"/>
    </row>
    <row r="53" spans="2:8" x14ac:dyDescent="0.25">
      <c r="B53" s="52"/>
      <c r="C53" s="53"/>
      <c r="D53" s="50"/>
      <c r="E53" s="50"/>
      <c r="F53" s="50"/>
      <c r="G53" s="50"/>
      <c r="H53" s="50"/>
    </row>
    <row r="54" spans="2:8" x14ac:dyDescent="0.25">
      <c r="B54" s="52"/>
      <c r="C54" s="53"/>
      <c r="D54" s="50"/>
      <c r="E54" s="50"/>
      <c r="F54" s="50"/>
      <c r="G54" s="50"/>
      <c r="H54" s="50"/>
    </row>
    <row r="55" spans="2:8" x14ac:dyDescent="0.25">
      <c r="B55" s="52"/>
      <c r="C55" s="53"/>
      <c r="D55" s="49"/>
      <c r="E55" s="49"/>
      <c r="F55" s="49"/>
      <c r="G55" s="49"/>
      <c r="H55" s="49"/>
    </row>
    <row r="56" spans="2:8" x14ac:dyDescent="0.25">
      <c r="B56" s="52"/>
      <c r="C56" s="53"/>
      <c r="D56" s="49"/>
      <c r="E56" s="49"/>
      <c r="F56" s="49"/>
      <c r="G56" s="49"/>
      <c r="H56" s="49"/>
    </row>
    <row r="57" spans="2:8" x14ac:dyDescent="0.25">
      <c r="B57" s="52"/>
      <c r="C57" s="53"/>
      <c r="D57" s="49"/>
      <c r="E57" s="49"/>
      <c r="F57" s="49"/>
      <c r="G57" s="49"/>
      <c r="H57" s="49"/>
    </row>
    <row r="58" spans="2:8" x14ac:dyDescent="0.25">
      <c r="B58" s="52"/>
      <c r="C58" s="53"/>
      <c r="D58" s="49"/>
      <c r="E58" s="49"/>
      <c r="F58" s="49"/>
      <c r="G58" s="49"/>
      <c r="H58" s="49"/>
    </row>
    <row r="59" spans="2:8" x14ac:dyDescent="0.25">
      <c r="B59" s="52"/>
      <c r="C59" s="53"/>
      <c r="D59" s="49"/>
      <c r="E59" s="49"/>
      <c r="F59" s="49"/>
      <c r="G59" s="49"/>
      <c r="H59" s="49"/>
    </row>
    <row r="60" spans="2:8" x14ac:dyDescent="0.25">
      <c r="B60" s="52"/>
      <c r="C60" s="53"/>
      <c r="D60" s="49"/>
      <c r="E60" s="49"/>
      <c r="F60" s="49"/>
      <c r="G60" s="49"/>
      <c r="H60" s="49"/>
    </row>
    <row r="61" spans="2:8" x14ac:dyDescent="0.25">
      <c r="B61" s="52"/>
      <c r="C61" s="53"/>
      <c r="D61" s="49"/>
      <c r="E61" s="49"/>
      <c r="F61" s="49"/>
      <c r="G61" s="49"/>
      <c r="H61" s="49"/>
    </row>
    <row r="62" spans="2:8" x14ac:dyDescent="0.25">
      <c r="B62" s="52"/>
      <c r="C62" s="53"/>
      <c r="D62" s="49"/>
      <c r="E62" s="49"/>
      <c r="F62" s="49"/>
      <c r="G62" s="49"/>
      <c r="H62" s="49"/>
    </row>
    <row r="63" spans="2:8" x14ac:dyDescent="0.25">
      <c r="B63" s="52"/>
      <c r="C63" s="53"/>
      <c r="D63" s="49"/>
      <c r="E63" s="49"/>
      <c r="F63" s="49"/>
      <c r="G63" s="49"/>
      <c r="H63" s="49"/>
    </row>
    <row r="64" spans="2:8" x14ac:dyDescent="0.25">
      <c r="B64" s="52"/>
      <c r="C64" s="53"/>
      <c r="D64" s="49"/>
      <c r="E64" s="49"/>
      <c r="F64" s="49"/>
      <c r="G64" s="49"/>
      <c r="H64" s="49"/>
    </row>
    <row r="65" spans="2:8" x14ac:dyDescent="0.25">
      <c r="B65" s="52"/>
      <c r="C65" s="53"/>
      <c r="D65" s="49"/>
      <c r="E65" s="49"/>
      <c r="F65" s="49"/>
      <c r="G65" s="49"/>
      <c r="H65" s="49"/>
    </row>
    <row r="66" spans="2:8" x14ac:dyDescent="0.25">
      <c r="B66" s="52"/>
      <c r="C66" s="53"/>
      <c r="D66" s="49"/>
      <c r="E66" s="49"/>
      <c r="F66" s="49"/>
      <c r="G66" s="49"/>
      <c r="H66" s="49"/>
    </row>
    <row r="67" spans="2:8" x14ac:dyDescent="0.25">
      <c r="B67" s="52"/>
      <c r="C67" s="53"/>
      <c r="D67" s="49"/>
      <c r="E67" s="49"/>
      <c r="F67" s="49"/>
      <c r="G67" s="49"/>
      <c r="H67" s="49"/>
    </row>
    <row r="68" spans="2:8" x14ac:dyDescent="0.25">
      <c r="B68" s="52"/>
      <c r="C68" s="53"/>
      <c r="D68" s="49"/>
      <c r="E68" s="49"/>
      <c r="F68" s="49"/>
      <c r="G68" s="49"/>
      <c r="H68" s="49"/>
    </row>
    <row r="69" spans="2:8" x14ac:dyDescent="0.25">
      <c r="B69" s="52"/>
      <c r="C69" s="53"/>
      <c r="D69" s="49"/>
      <c r="E69" s="49"/>
      <c r="F69" s="49"/>
      <c r="G69" s="49"/>
      <c r="H69" s="49"/>
    </row>
    <row r="70" spans="2:8" x14ac:dyDescent="0.25">
      <c r="B70" s="52"/>
      <c r="C70" s="53"/>
      <c r="D70" s="49"/>
      <c r="E70" s="49"/>
      <c r="F70" s="49"/>
      <c r="G70" s="49"/>
      <c r="H70" s="49"/>
    </row>
    <row r="71" spans="2:8" x14ac:dyDescent="0.25">
      <c r="B71" s="52"/>
      <c r="C71" s="53"/>
      <c r="D71" s="49"/>
      <c r="E71" s="49"/>
      <c r="F71" s="49"/>
      <c r="G71" s="49"/>
      <c r="H71" s="49"/>
    </row>
    <row r="72" spans="2:8" x14ac:dyDescent="0.25">
      <c r="B72" s="52"/>
      <c r="C72" s="53"/>
      <c r="D72" s="49"/>
      <c r="E72" s="49"/>
      <c r="F72" s="49"/>
      <c r="G72" s="49"/>
      <c r="H72" s="49"/>
    </row>
    <row r="73" spans="2:8" x14ac:dyDescent="0.25">
      <c r="B73" s="52"/>
      <c r="C73" s="53"/>
      <c r="D73" s="49"/>
      <c r="E73" s="49"/>
      <c r="F73" s="49"/>
      <c r="G73" s="49"/>
      <c r="H73" s="49"/>
    </row>
    <row r="74" spans="2:8" x14ac:dyDescent="0.25">
      <c r="B74" s="52"/>
      <c r="C74" s="53"/>
      <c r="D74" s="49"/>
      <c r="E74" s="49"/>
      <c r="F74" s="49"/>
      <c r="G74" s="49"/>
      <c r="H74" s="49"/>
    </row>
    <row r="75" spans="2:8" x14ac:dyDescent="0.25">
      <c r="B75" s="52"/>
      <c r="C75" s="53"/>
      <c r="D75" s="49"/>
      <c r="E75" s="49"/>
      <c r="F75" s="49"/>
      <c r="G75" s="49"/>
      <c r="H75" s="49"/>
    </row>
    <row r="76" spans="2:8" x14ac:dyDescent="0.25">
      <c r="B76" s="52"/>
      <c r="C76" s="53"/>
      <c r="D76" s="49"/>
      <c r="E76" s="49"/>
      <c r="F76" s="49"/>
      <c r="G76" s="49"/>
      <c r="H76" s="49"/>
    </row>
    <row r="77" spans="2:8" x14ac:dyDescent="0.25">
      <c r="B77" s="52"/>
      <c r="C77" s="53"/>
      <c r="D77" s="49"/>
      <c r="E77" s="49"/>
      <c r="F77" s="49"/>
      <c r="G77" s="49"/>
      <c r="H77" s="49"/>
    </row>
    <row r="78" spans="2:8" x14ac:dyDescent="0.25">
      <c r="B78" s="52"/>
      <c r="C78" s="53"/>
      <c r="D78" s="49"/>
      <c r="E78" s="49"/>
      <c r="F78" s="49"/>
      <c r="G78" s="49"/>
      <c r="H78" s="49"/>
    </row>
    <row r="79" spans="2:8" x14ac:dyDescent="0.25">
      <c r="B79" s="3"/>
      <c r="C79" s="46"/>
      <c r="D79" s="3"/>
      <c r="E79" s="3"/>
      <c r="F79" s="3"/>
      <c r="G79" s="3"/>
      <c r="H79" s="3"/>
    </row>
    <row r="80" spans="2:8" x14ac:dyDescent="0.25">
      <c r="B80" s="3"/>
      <c r="C80" s="46"/>
      <c r="D80" s="3"/>
      <c r="E80" s="3"/>
      <c r="F80" s="3"/>
      <c r="G80" s="3"/>
      <c r="H80" s="3"/>
    </row>
    <row r="81" spans="2:8" x14ac:dyDescent="0.25">
      <c r="B81" s="3"/>
      <c r="C81" s="46"/>
      <c r="D81" s="3"/>
      <c r="E81" s="3"/>
      <c r="F81" s="3"/>
      <c r="G81" s="3"/>
      <c r="H81" s="3"/>
    </row>
    <row r="82" spans="2:8" x14ac:dyDescent="0.25">
      <c r="B82" s="3"/>
      <c r="C82" s="46"/>
      <c r="D82" s="3"/>
      <c r="E82" s="3"/>
      <c r="F82" s="3"/>
      <c r="G82" s="3"/>
      <c r="H82" s="3"/>
    </row>
    <row r="83" spans="2:8" x14ac:dyDescent="0.25">
      <c r="B83" s="3"/>
      <c r="C83" s="46"/>
      <c r="D83" s="3"/>
      <c r="E83" s="3"/>
      <c r="F83" s="3"/>
      <c r="G83" s="3"/>
      <c r="H83" s="3"/>
    </row>
    <row r="84" spans="2:8" x14ac:dyDescent="0.25">
      <c r="B84" s="3"/>
      <c r="C84" s="46"/>
      <c r="D84" s="3"/>
      <c r="E84" s="3"/>
      <c r="F84" s="3"/>
      <c r="G84" s="3"/>
      <c r="H84" s="3"/>
    </row>
    <row r="85" spans="2:8" x14ac:dyDescent="0.25">
      <c r="B85" s="3"/>
      <c r="C85" s="46"/>
      <c r="D85" s="3"/>
      <c r="E85" s="3"/>
      <c r="F85" s="3"/>
      <c r="G85" s="3"/>
      <c r="H85" s="3"/>
    </row>
    <row r="86" spans="2:8" x14ac:dyDescent="0.25">
      <c r="B86" s="3"/>
      <c r="C86" s="46"/>
      <c r="D86" s="3"/>
      <c r="E86" s="3"/>
      <c r="F86" s="3"/>
      <c r="G86" s="3"/>
      <c r="H86" s="3"/>
    </row>
    <row r="87" spans="2:8" x14ac:dyDescent="0.25">
      <c r="B87" s="3"/>
      <c r="C87" s="46"/>
      <c r="D87" s="3"/>
      <c r="E87" s="3"/>
      <c r="F87" s="3"/>
      <c r="G87" s="3"/>
      <c r="H87" s="3"/>
    </row>
    <row r="88" spans="2:8" x14ac:dyDescent="0.25">
      <c r="B88" s="3"/>
      <c r="C88" s="46"/>
      <c r="D88" s="3"/>
      <c r="E88" s="3"/>
      <c r="F88" s="3"/>
      <c r="G88" s="3"/>
      <c r="H88" s="3"/>
    </row>
    <row r="89" spans="2:8" x14ac:dyDescent="0.25">
      <c r="B89" s="3"/>
      <c r="C89" s="46"/>
      <c r="D89" s="3"/>
      <c r="E89" s="3"/>
      <c r="F89" s="3"/>
      <c r="G89" s="3"/>
      <c r="H89" s="3"/>
    </row>
    <row r="90" spans="2:8" x14ac:dyDescent="0.25">
      <c r="B90" s="3"/>
      <c r="C90" s="46"/>
      <c r="D90" s="3"/>
      <c r="E90" s="3"/>
      <c r="F90" s="3"/>
      <c r="G90" s="3"/>
      <c r="H90" s="3"/>
    </row>
    <row r="91" spans="2:8" x14ac:dyDescent="0.25">
      <c r="B91" s="3"/>
      <c r="C91" s="46"/>
      <c r="D91" s="3"/>
      <c r="E91" s="3"/>
      <c r="F91" s="3"/>
      <c r="G91" s="3"/>
      <c r="H91" s="3"/>
    </row>
    <row r="92" spans="2:8" x14ac:dyDescent="0.25">
      <c r="B92" s="3"/>
      <c r="C92" s="46"/>
      <c r="D92" s="3"/>
      <c r="E92" s="3"/>
      <c r="F92" s="3"/>
      <c r="G92" s="3"/>
      <c r="H92" s="3"/>
    </row>
    <row r="93" spans="2:8" x14ac:dyDescent="0.25">
      <c r="B93" s="3"/>
      <c r="C93" s="46"/>
      <c r="D93" s="3"/>
      <c r="E93" s="3"/>
      <c r="F93" s="3"/>
      <c r="G93" s="3"/>
      <c r="H93" s="3"/>
    </row>
    <row r="94" spans="2:8" x14ac:dyDescent="0.25">
      <c r="B94" s="3"/>
      <c r="C94" s="46"/>
      <c r="D94" s="3"/>
      <c r="E94" s="3"/>
      <c r="F94" s="3"/>
      <c r="G94" s="3"/>
      <c r="H94" s="3"/>
    </row>
    <row r="95" spans="2:8" x14ac:dyDescent="0.25">
      <c r="B95" s="3"/>
      <c r="C95" s="46"/>
      <c r="D95" s="3"/>
      <c r="E95" s="3"/>
      <c r="F95" s="3"/>
      <c r="G95" s="3"/>
      <c r="H95" s="3"/>
    </row>
    <row r="96" spans="2:8" x14ac:dyDescent="0.25">
      <c r="B96" s="3"/>
      <c r="C96" s="46"/>
      <c r="D96" s="3"/>
      <c r="E96" s="3"/>
      <c r="F96" s="3"/>
      <c r="G96" s="3"/>
      <c r="H96" s="3"/>
    </row>
    <row r="97" spans="2:8" x14ac:dyDescent="0.25">
      <c r="B97" s="3"/>
      <c r="C97" s="46"/>
      <c r="D97" s="3"/>
      <c r="E97" s="3"/>
      <c r="F97" s="3"/>
      <c r="G97" s="3"/>
      <c r="H97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ADC11-762C-4AAA-829A-F0F7DBC5E816}">
  <sheetPr codeName="Hoja6"/>
  <dimension ref="B3:H20"/>
  <sheetViews>
    <sheetView zoomScale="89" zoomScaleNormal="89" workbookViewId="0">
      <selection activeCell="D39" sqref="C39:D40"/>
    </sheetView>
  </sheetViews>
  <sheetFormatPr baseColWidth="10" defaultColWidth="4.140625" defaultRowHeight="15" x14ac:dyDescent="0.25"/>
  <cols>
    <col min="2" max="2" width="20.5703125" customWidth="1"/>
    <col min="3" max="3" width="49.7109375" customWidth="1"/>
    <col min="4" max="6" width="24.7109375" customWidth="1"/>
    <col min="7" max="7" width="25" customWidth="1"/>
    <col min="8" max="8" width="29" customWidth="1"/>
  </cols>
  <sheetData>
    <row r="3" spans="2:8" x14ac:dyDescent="0.25">
      <c r="C3" s="29" t="s">
        <v>0</v>
      </c>
      <c r="D3" s="30" t="s">
        <v>12</v>
      </c>
      <c r="E3" s="30" t="s">
        <v>13</v>
      </c>
      <c r="F3" s="11" t="s">
        <v>27</v>
      </c>
      <c r="G3" s="31" t="s">
        <v>28</v>
      </c>
      <c r="H3" s="32" t="s">
        <v>1</v>
      </c>
    </row>
    <row r="4" spans="2:8" x14ac:dyDescent="0.25">
      <c r="C4" s="27" t="s">
        <v>102</v>
      </c>
      <c r="D4" s="2" t="s">
        <v>14</v>
      </c>
      <c r="E4" s="2" t="s">
        <v>19</v>
      </c>
      <c r="F4" s="3">
        <v>3007566599</v>
      </c>
      <c r="G4" s="4" t="s">
        <v>34</v>
      </c>
      <c r="H4" s="28">
        <v>1019767908</v>
      </c>
    </row>
    <row r="5" spans="2:8" x14ac:dyDescent="0.25">
      <c r="C5" s="27" t="s">
        <v>7</v>
      </c>
      <c r="D5" s="2" t="s">
        <v>16</v>
      </c>
      <c r="E5" s="2" t="s">
        <v>22</v>
      </c>
      <c r="F5" s="3">
        <v>3157559835</v>
      </c>
      <c r="G5" s="4" t="s">
        <v>33</v>
      </c>
      <c r="H5" s="28">
        <v>7890678956</v>
      </c>
    </row>
    <row r="6" spans="2:8" x14ac:dyDescent="0.25">
      <c r="C6" s="27" t="s">
        <v>8</v>
      </c>
      <c r="D6" s="2" t="s">
        <v>15</v>
      </c>
      <c r="E6" s="2" t="s">
        <v>21</v>
      </c>
      <c r="F6" s="3">
        <v>3185629517</v>
      </c>
      <c r="G6" s="4" t="s">
        <v>32</v>
      </c>
      <c r="H6" s="28">
        <v>8787665598</v>
      </c>
    </row>
    <row r="7" spans="2:8" x14ac:dyDescent="0.25">
      <c r="C7" s="27" t="s">
        <v>9</v>
      </c>
      <c r="D7" s="2" t="s">
        <v>17</v>
      </c>
      <c r="E7" s="2" t="s">
        <v>23</v>
      </c>
      <c r="F7" s="3">
        <v>3102342753</v>
      </c>
      <c r="G7" s="4" t="s">
        <v>29</v>
      </c>
      <c r="H7" s="28">
        <v>9787879098</v>
      </c>
    </row>
    <row r="8" spans="2:8" x14ac:dyDescent="0.25">
      <c r="C8" s="27" t="s">
        <v>10</v>
      </c>
      <c r="D8" s="2" t="s">
        <v>11</v>
      </c>
      <c r="E8" s="2" t="s">
        <v>20</v>
      </c>
      <c r="F8" s="3">
        <v>3115640908</v>
      </c>
      <c r="G8" s="4" t="s">
        <v>35</v>
      </c>
      <c r="H8" s="28">
        <v>1012394725</v>
      </c>
    </row>
    <row r="9" spans="2:8" x14ac:dyDescent="0.25">
      <c r="C9" s="27" t="s">
        <v>2</v>
      </c>
      <c r="D9" s="2" t="s">
        <v>18</v>
      </c>
      <c r="E9" s="2" t="s">
        <v>24</v>
      </c>
      <c r="F9" s="3">
        <v>3057508006</v>
      </c>
      <c r="G9" s="4" t="s">
        <v>30</v>
      </c>
      <c r="H9" s="28">
        <v>9989088787</v>
      </c>
    </row>
    <row r="10" spans="2:8" x14ac:dyDescent="0.25">
      <c r="C10" s="27" t="s">
        <v>3</v>
      </c>
      <c r="D10" s="2" t="s">
        <v>18</v>
      </c>
      <c r="E10" s="2" t="s">
        <v>25</v>
      </c>
      <c r="F10" s="3">
        <v>3114568963</v>
      </c>
      <c r="G10" s="4" t="s">
        <v>31</v>
      </c>
      <c r="H10" s="28">
        <v>8665556869</v>
      </c>
    </row>
    <row r="11" spans="2:8" x14ac:dyDescent="0.25">
      <c r="C11" s="33" t="s">
        <v>4</v>
      </c>
      <c r="D11" s="34" t="s">
        <v>18</v>
      </c>
      <c r="E11" s="34" t="s">
        <v>26</v>
      </c>
      <c r="F11" s="14">
        <v>3102645598</v>
      </c>
      <c r="G11" s="35" t="s">
        <v>36</v>
      </c>
      <c r="H11" s="36">
        <v>8778780988</v>
      </c>
    </row>
    <row r="12" spans="2:8" x14ac:dyDescent="0.25">
      <c r="C12" s="1"/>
      <c r="D12" s="1"/>
      <c r="E12" s="1"/>
    </row>
    <row r="13" spans="2:8" x14ac:dyDescent="0.25">
      <c r="C13" s="1"/>
      <c r="D13" s="1"/>
      <c r="E13" s="1"/>
      <c r="H13" s="1"/>
    </row>
    <row r="14" spans="2:8" x14ac:dyDescent="0.25">
      <c r="C14" s="1"/>
      <c r="D14" s="1"/>
      <c r="E14" s="1"/>
      <c r="H14" s="1"/>
    </row>
    <row r="15" spans="2:8" x14ac:dyDescent="0.25">
      <c r="B15" s="1"/>
      <c r="C15" s="1"/>
      <c r="D15" s="1"/>
      <c r="E15" s="1"/>
      <c r="H15" s="1"/>
    </row>
    <row r="16" spans="2:8" x14ac:dyDescent="0.25">
      <c r="B16" s="1"/>
      <c r="C16" s="1"/>
      <c r="D16" s="1"/>
      <c r="E16" s="1"/>
    </row>
    <row r="17" spans="2:5" x14ac:dyDescent="0.25">
      <c r="B17" s="1"/>
      <c r="C17" s="1"/>
      <c r="D17" s="1"/>
      <c r="E17" s="1"/>
    </row>
    <row r="18" spans="2:5" x14ac:dyDescent="0.25">
      <c r="B18" s="1"/>
      <c r="C18" s="1"/>
      <c r="D18" s="1"/>
      <c r="E18" s="1"/>
    </row>
    <row r="19" spans="2:5" x14ac:dyDescent="0.25">
      <c r="B19" s="1"/>
      <c r="C19" s="1"/>
      <c r="D19" s="1"/>
      <c r="E19" s="1"/>
    </row>
    <row r="20" spans="2:5" x14ac:dyDescent="0.25">
      <c r="B20" s="1"/>
      <c r="C20" s="1"/>
      <c r="D20" s="1"/>
      <c r="E2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4F6E-14E2-4A12-9AEB-FA80FDDFD8AA}">
  <sheetPr codeName="Hoja7"/>
  <dimension ref="B4:R40"/>
  <sheetViews>
    <sheetView tabSelected="1" zoomScale="76" zoomScaleNormal="76" workbookViewId="0">
      <selection activeCell="Q25" sqref="Q25"/>
    </sheetView>
  </sheetViews>
  <sheetFormatPr baseColWidth="10" defaultRowHeight="15" x14ac:dyDescent="0.25"/>
  <cols>
    <col min="2" max="2" width="45.7109375" customWidth="1"/>
    <col min="3" max="4" width="23" customWidth="1"/>
    <col min="5" max="6" width="22.7109375" customWidth="1"/>
    <col min="9" max="9" width="45.85546875" customWidth="1"/>
    <col min="10" max="10" width="22.7109375" customWidth="1"/>
    <col min="11" max="11" width="23" customWidth="1"/>
    <col min="12" max="12" width="22.5703125" customWidth="1"/>
    <col min="13" max="13" width="27" customWidth="1"/>
    <col min="14" max="14" width="26.7109375" customWidth="1"/>
    <col min="15" max="15" width="33.85546875" customWidth="1"/>
    <col min="17" max="18" width="22.85546875" customWidth="1"/>
  </cols>
  <sheetData>
    <row r="4" spans="2:18" x14ac:dyDescent="0.25">
      <c r="B4" s="10" t="s">
        <v>47</v>
      </c>
      <c r="C4" s="11" t="s">
        <v>59</v>
      </c>
      <c r="D4" s="11" t="s">
        <v>60</v>
      </c>
      <c r="E4" s="11" t="s">
        <v>41</v>
      </c>
      <c r="F4" s="12" t="s">
        <v>63</v>
      </c>
      <c r="I4" s="10" t="s">
        <v>64</v>
      </c>
      <c r="J4" s="11" t="s">
        <v>74</v>
      </c>
      <c r="K4" s="11" t="s">
        <v>75</v>
      </c>
      <c r="L4" s="11" t="s">
        <v>80</v>
      </c>
      <c r="M4" s="11" t="s">
        <v>85</v>
      </c>
      <c r="N4" s="11" t="s">
        <v>87</v>
      </c>
      <c r="O4" s="12" t="s">
        <v>89</v>
      </c>
      <c r="Q4" s="38" t="s">
        <v>91</v>
      </c>
      <c r="R4" s="39" t="s">
        <v>97</v>
      </c>
    </row>
    <row r="5" spans="2:18" x14ac:dyDescent="0.25">
      <c r="B5" s="8" t="s">
        <v>48</v>
      </c>
      <c r="C5" s="3">
        <v>880</v>
      </c>
      <c r="D5" s="3">
        <v>0.1</v>
      </c>
      <c r="E5" s="3" t="s">
        <v>61</v>
      </c>
      <c r="F5" s="9">
        <v>100</v>
      </c>
      <c r="I5" s="25" t="s">
        <v>65</v>
      </c>
      <c r="J5" s="7" t="s">
        <v>66</v>
      </c>
      <c r="K5" s="7" t="s">
        <v>76</v>
      </c>
      <c r="L5" s="7" t="s">
        <v>66</v>
      </c>
      <c r="M5" s="7" t="s">
        <v>66</v>
      </c>
      <c r="N5" s="7" t="s">
        <v>66</v>
      </c>
      <c r="O5" s="26" t="s">
        <v>66</v>
      </c>
      <c r="Q5" s="8" t="s">
        <v>92</v>
      </c>
      <c r="R5" s="37">
        <v>0.02</v>
      </c>
    </row>
    <row r="6" spans="2:18" x14ac:dyDescent="0.25">
      <c r="B6" s="8" t="s">
        <v>49</v>
      </c>
      <c r="C6" s="3">
        <v>200</v>
      </c>
      <c r="D6" s="3">
        <v>0.08</v>
      </c>
      <c r="E6" s="3" t="s">
        <v>62</v>
      </c>
      <c r="F6" s="9">
        <v>101</v>
      </c>
      <c r="I6" s="8" t="s">
        <v>66</v>
      </c>
      <c r="J6" s="3" t="s">
        <v>66</v>
      </c>
      <c r="K6" s="3" t="s">
        <v>66</v>
      </c>
      <c r="L6" s="3" t="s">
        <v>66</v>
      </c>
      <c r="M6" s="3" t="s">
        <v>66</v>
      </c>
      <c r="N6" s="3" t="s">
        <v>66</v>
      </c>
      <c r="O6" s="9" t="s">
        <v>66</v>
      </c>
      <c r="Q6" s="8" t="s">
        <v>94</v>
      </c>
      <c r="R6" s="37">
        <v>0.05</v>
      </c>
    </row>
    <row r="7" spans="2:18" x14ac:dyDescent="0.25">
      <c r="B7" s="8" t="s">
        <v>50</v>
      </c>
      <c r="C7" s="3">
        <v>339900</v>
      </c>
      <c r="D7" s="3">
        <v>0.12</v>
      </c>
      <c r="E7" s="3" t="s">
        <v>62</v>
      </c>
      <c r="F7" s="9">
        <v>102</v>
      </c>
      <c r="I7" s="8" t="s">
        <v>67</v>
      </c>
      <c r="J7" s="3">
        <v>4</v>
      </c>
      <c r="K7" s="3" t="s">
        <v>77</v>
      </c>
      <c r="L7" s="3" t="s">
        <v>81</v>
      </c>
      <c r="M7" s="3" t="s">
        <v>66</v>
      </c>
      <c r="N7" s="3" t="s">
        <v>66</v>
      </c>
      <c r="O7" s="9" t="s">
        <v>66</v>
      </c>
      <c r="Q7" s="8" t="s">
        <v>93</v>
      </c>
      <c r="R7" s="37">
        <v>0.1</v>
      </c>
    </row>
    <row r="8" spans="2:18" x14ac:dyDescent="0.25">
      <c r="B8" s="8" t="s">
        <v>51</v>
      </c>
      <c r="C8" s="3">
        <v>985900</v>
      </c>
      <c r="D8" s="3">
        <v>0.19</v>
      </c>
      <c r="E8" s="3" t="s">
        <v>62</v>
      </c>
      <c r="F8" s="9">
        <v>103</v>
      </c>
      <c r="I8" s="8" t="s">
        <v>68</v>
      </c>
      <c r="J8" s="3">
        <v>24</v>
      </c>
      <c r="K8" s="3" t="s">
        <v>78</v>
      </c>
      <c r="L8" s="3" t="s">
        <v>82</v>
      </c>
      <c r="M8" s="3" t="s">
        <v>66</v>
      </c>
      <c r="N8" s="3" t="s">
        <v>66</v>
      </c>
      <c r="O8" s="9" t="s">
        <v>66</v>
      </c>
      <c r="Q8" s="8" t="s">
        <v>95</v>
      </c>
      <c r="R8" s="37">
        <v>0.2</v>
      </c>
    </row>
    <row r="9" spans="2:18" x14ac:dyDescent="0.25">
      <c r="B9" s="8" t="s">
        <v>52</v>
      </c>
      <c r="C9" s="3">
        <v>4500000</v>
      </c>
      <c r="D9" s="3">
        <v>0.19</v>
      </c>
      <c r="E9" s="3" t="s">
        <v>62</v>
      </c>
      <c r="F9" s="9">
        <v>104</v>
      </c>
      <c r="I9" s="8" t="s">
        <v>69</v>
      </c>
      <c r="J9" s="3">
        <v>4</v>
      </c>
      <c r="K9" s="3" t="s">
        <v>78</v>
      </c>
      <c r="L9" s="3" t="s">
        <v>83</v>
      </c>
      <c r="M9" s="3" t="s">
        <v>66</v>
      </c>
      <c r="N9" s="3" t="s">
        <v>66</v>
      </c>
      <c r="O9" s="9" t="s">
        <v>66</v>
      </c>
      <c r="Q9" s="13" t="s">
        <v>96</v>
      </c>
      <c r="R9" s="40">
        <v>0.4</v>
      </c>
    </row>
    <row r="10" spans="2:18" x14ac:dyDescent="0.25">
      <c r="B10" s="8" t="s">
        <v>53</v>
      </c>
      <c r="C10" s="3">
        <v>250</v>
      </c>
      <c r="D10" s="3">
        <v>0.05</v>
      </c>
      <c r="E10" s="3" t="s">
        <v>62</v>
      </c>
      <c r="F10" s="9">
        <v>105</v>
      </c>
      <c r="I10" s="8" t="s">
        <v>66</v>
      </c>
      <c r="J10" s="3" t="s">
        <v>66</v>
      </c>
      <c r="K10" s="3" t="s">
        <v>66</v>
      </c>
      <c r="L10" s="3" t="s">
        <v>66</v>
      </c>
      <c r="M10" s="3" t="s">
        <v>66</v>
      </c>
      <c r="N10" s="3" t="s">
        <v>66</v>
      </c>
      <c r="O10" s="9" t="s">
        <v>66</v>
      </c>
    </row>
    <row r="11" spans="2:18" x14ac:dyDescent="0.25">
      <c r="B11" s="8" t="s">
        <v>54</v>
      </c>
      <c r="C11" s="3">
        <v>20450</v>
      </c>
      <c r="D11" s="3">
        <v>0.12</v>
      </c>
      <c r="E11" s="3" t="s">
        <v>61</v>
      </c>
      <c r="F11" s="9">
        <v>106</v>
      </c>
      <c r="I11" s="8" t="s">
        <v>70</v>
      </c>
      <c r="J11" s="3" t="s">
        <v>66</v>
      </c>
      <c r="K11" s="3" t="s">
        <v>66</v>
      </c>
      <c r="L11" s="3" t="s">
        <v>66</v>
      </c>
      <c r="M11" s="3" t="s">
        <v>66</v>
      </c>
      <c r="N11" s="3" t="s">
        <v>66</v>
      </c>
      <c r="O11" s="9" t="s">
        <v>66</v>
      </c>
    </row>
    <row r="12" spans="2:18" x14ac:dyDescent="0.25">
      <c r="B12" s="8" t="s">
        <v>55</v>
      </c>
      <c r="C12" s="3">
        <v>1100000</v>
      </c>
      <c r="D12" s="3">
        <v>0.19</v>
      </c>
      <c r="E12" s="3" t="s">
        <v>62</v>
      </c>
      <c r="F12" s="9">
        <v>107</v>
      </c>
      <c r="I12" s="8" t="s">
        <v>71</v>
      </c>
      <c r="J12" s="3" t="s">
        <v>66</v>
      </c>
      <c r="K12" s="3" t="s">
        <v>66</v>
      </c>
      <c r="L12" s="3" t="s">
        <v>84</v>
      </c>
      <c r="M12" s="3" t="s">
        <v>66</v>
      </c>
      <c r="N12" s="3" t="s">
        <v>66</v>
      </c>
      <c r="O12" s="9" t="s">
        <v>66</v>
      </c>
    </row>
    <row r="13" spans="2:18" x14ac:dyDescent="0.25">
      <c r="B13" s="8" t="s">
        <v>56</v>
      </c>
      <c r="C13" s="3">
        <v>999900</v>
      </c>
      <c r="D13" s="3">
        <v>0.18</v>
      </c>
      <c r="E13" s="3" t="s">
        <v>62</v>
      </c>
      <c r="F13" s="9">
        <v>108</v>
      </c>
      <c r="I13" s="8" t="s">
        <v>72</v>
      </c>
      <c r="J13" s="3">
        <v>48</v>
      </c>
      <c r="K13" s="3" t="s">
        <v>66</v>
      </c>
      <c r="L13" s="3" t="s">
        <v>82</v>
      </c>
      <c r="M13" s="3" t="s">
        <v>66</v>
      </c>
      <c r="N13" s="3" t="s">
        <v>66</v>
      </c>
      <c r="O13" s="9" t="s">
        <v>66</v>
      </c>
    </row>
    <row r="14" spans="2:18" x14ac:dyDescent="0.25">
      <c r="B14" s="8" t="s">
        <v>57</v>
      </c>
      <c r="C14" s="3">
        <v>16935250</v>
      </c>
      <c r="D14" s="3">
        <v>0.19</v>
      </c>
      <c r="E14" s="3" t="s">
        <v>62</v>
      </c>
      <c r="F14" s="9">
        <v>109</v>
      </c>
      <c r="I14" s="13" t="s">
        <v>73</v>
      </c>
      <c r="J14" s="14">
        <v>2</v>
      </c>
      <c r="K14" s="14" t="s">
        <v>79</v>
      </c>
      <c r="L14" s="14" t="s">
        <v>82</v>
      </c>
      <c r="M14" s="14" t="s">
        <v>88</v>
      </c>
      <c r="N14" s="14" t="s">
        <v>86</v>
      </c>
      <c r="O14" s="15" t="s">
        <v>90</v>
      </c>
    </row>
    <row r="15" spans="2:18" x14ac:dyDescent="0.25">
      <c r="B15" s="13" t="s">
        <v>58</v>
      </c>
      <c r="C15" s="14">
        <v>9000</v>
      </c>
      <c r="D15" s="14">
        <v>0.01</v>
      </c>
      <c r="E15" s="14" t="s">
        <v>62</v>
      </c>
      <c r="F15" s="15">
        <v>110</v>
      </c>
    </row>
    <row r="25" spans="2:15" x14ac:dyDescent="0.25">
      <c r="B25" s="3"/>
      <c r="C25" s="3"/>
      <c r="D25" s="3"/>
      <c r="E25" s="3"/>
      <c r="F25" s="3"/>
      <c r="I25" s="3"/>
      <c r="J25" s="3"/>
      <c r="K25" s="3"/>
      <c r="L25" s="3"/>
      <c r="M25" s="3"/>
      <c r="N25" s="3"/>
      <c r="O25" s="3"/>
    </row>
    <row r="26" spans="2:15" x14ac:dyDescent="0.25">
      <c r="B26" s="3"/>
      <c r="C26" s="3"/>
      <c r="D26" s="3"/>
      <c r="E26" s="3"/>
      <c r="F26" s="3"/>
      <c r="I26" s="3"/>
      <c r="J26" s="3"/>
      <c r="K26" s="3"/>
      <c r="L26" s="3"/>
      <c r="M26" s="3"/>
      <c r="N26" s="3"/>
      <c r="O26" s="3"/>
    </row>
    <row r="27" spans="2:15" x14ac:dyDescent="0.25">
      <c r="B27" s="3"/>
      <c r="C27" s="3"/>
      <c r="D27" s="3"/>
      <c r="E27" s="3"/>
      <c r="F27" s="3"/>
      <c r="I27" s="3"/>
      <c r="J27" s="3"/>
      <c r="K27" s="3"/>
      <c r="L27" s="3"/>
      <c r="M27" s="3"/>
      <c r="N27" s="3"/>
      <c r="O27" s="3"/>
    </row>
    <row r="28" spans="2:15" x14ac:dyDescent="0.25">
      <c r="B28" s="3"/>
      <c r="C28" s="3"/>
      <c r="D28" s="3"/>
      <c r="E28" s="3"/>
      <c r="F28" s="3"/>
      <c r="I28" s="3"/>
      <c r="J28" s="3"/>
      <c r="K28" s="3"/>
      <c r="L28" s="3"/>
      <c r="M28" s="3"/>
      <c r="N28" s="3"/>
      <c r="O28" s="3"/>
    </row>
    <row r="29" spans="2:15" x14ac:dyDescent="0.25">
      <c r="B29" s="3"/>
      <c r="C29" s="3"/>
      <c r="D29" s="3"/>
      <c r="E29" s="3"/>
      <c r="F29" s="3"/>
      <c r="I29" s="3"/>
      <c r="J29" s="3"/>
      <c r="K29" s="3"/>
      <c r="L29" s="3"/>
      <c r="M29" s="3"/>
      <c r="N29" s="3"/>
      <c r="O29" s="3"/>
    </row>
    <row r="30" spans="2:15" x14ac:dyDescent="0.25">
      <c r="B30" s="3"/>
      <c r="C30" s="3"/>
      <c r="D30" s="3"/>
      <c r="E30" s="3"/>
      <c r="F30" s="3"/>
      <c r="I30" s="3"/>
      <c r="J30" s="3"/>
      <c r="K30" s="3"/>
      <c r="L30" s="3"/>
      <c r="M30" s="3"/>
      <c r="N30" s="3"/>
      <c r="O30" s="3"/>
    </row>
    <row r="31" spans="2:15" x14ac:dyDescent="0.25">
      <c r="B31" s="3"/>
      <c r="C31" s="3"/>
      <c r="D31" s="3"/>
      <c r="E31" s="3"/>
      <c r="F31" s="3"/>
      <c r="I31" s="3"/>
      <c r="J31" s="3"/>
      <c r="K31" s="3"/>
      <c r="L31" s="3"/>
      <c r="M31" s="3"/>
      <c r="N31" s="3"/>
      <c r="O31" s="3"/>
    </row>
    <row r="32" spans="2:15" x14ac:dyDescent="0.25">
      <c r="B32" s="3"/>
      <c r="C32" s="3"/>
      <c r="D32" s="3"/>
      <c r="E32" s="3"/>
      <c r="F32" s="3"/>
      <c r="I32" s="3"/>
      <c r="J32" s="3"/>
      <c r="K32" s="3"/>
      <c r="L32" s="3"/>
      <c r="M32" s="3"/>
      <c r="N32" s="3"/>
      <c r="O32" s="3"/>
    </row>
    <row r="33" spans="2:15" x14ac:dyDescent="0.25">
      <c r="B33" s="3"/>
      <c r="C33" s="3"/>
      <c r="D33" s="3"/>
      <c r="E33" s="3"/>
      <c r="F33" s="3"/>
      <c r="I33" s="3"/>
      <c r="J33" s="3"/>
      <c r="K33" s="3"/>
      <c r="L33" s="3"/>
      <c r="M33" s="3"/>
      <c r="N33" s="3"/>
      <c r="O33" s="3"/>
    </row>
    <row r="34" spans="2:15" x14ac:dyDescent="0.25"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</row>
    <row r="35" spans="2:15" x14ac:dyDescent="0.25">
      <c r="B35" s="3"/>
      <c r="C35" s="3"/>
      <c r="D35" s="3"/>
      <c r="E35" s="3"/>
      <c r="F35" s="3"/>
      <c r="I35" s="3"/>
      <c r="J35" s="3"/>
      <c r="K35" s="3"/>
      <c r="L35" s="3"/>
      <c r="M35" s="3"/>
      <c r="N35" s="3"/>
      <c r="O35" s="3"/>
    </row>
    <row r="36" spans="2:15" x14ac:dyDescent="0.25">
      <c r="B36" s="3"/>
      <c r="C36" s="3"/>
      <c r="D36" s="3"/>
      <c r="E36" s="3"/>
      <c r="F36" s="3"/>
      <c r="I36" s="3"/>
      <c r="J36" s="3"/>
      <c r="K36" s="3"/>
      <c r="L36" s="3"/>
      <c r="M36" s="3"/>
      <c r="N36" s="3"/>
      <c r="O36" s="3"/>
    </row>
    <row r="37" spans="2:15" x14ac:dyDescent="0.25">
      <c r="B37" s="3"/>
      <c r="C37" s="3"/>
      <c r="D37" s="3"/>
      <c r="E37" s="3"/>
      <c r="F37" s="3"/>
      <c r="I37" s="3"/>
      <c r="J37" s="3"/>
      <c r="K37" s="3"/>
      <c r="L37" s="3"/>
      <c r="M37" s="3"/>
      <c r="N37" s="3"/>
      <c r="O37" s="3"/>
    </row>
    <row r="38" spans="2:15" x14ac:dyDescent="0.25">
      <c r="B38" s="3"/>
      <c r="C38" s="3"/>
      <c r="D38" s="3"/>
      <c r="E38" s="3"/>
      <c r="F38" s="3"/>
      <c r="I38" s="3"/>
      <c r="J38" s="3"/>
      <c r="K38" s="3"/>
      <c r="L38" s="3"/>
      <c r="M38" s="3"/>
      <c r="N38" s="3"/>
      <c r="O38" s="3"/>
    </row>
    <row r="39" spans="2:15" x14ac:dyDescent="0.25">
      <c r="B39" s="3"/>
      <c r="C39" s="3"/>
      <c r="D39" s="3"/>
      <c r="E39" s="3"/>
      <c r="F39" s="3"/>
      <c r="I39" s="3"/>
      <c r="J39" s="3"/>
      <c r="K39" s="3"/>
      <c r="L39" s="3"/>
      <c r="M39" s="3"/>
      <c r="N39" s="3"/>
      <c r="O39" s="3"/>
    </row>
    <row r="40" spans="2:15" x14ac:dyDescent="0.25">
      <c r="I40" s="3"/>
      <c r="J40" s="3"/>
      <c r="K40" s="3"/>
      <c r="L40" s="3"/>
      <c r="M40" s="3"/>
      <c r="N40" s="3"/>
      <c r="O40" s="3"/>
    </row>
  </sheetData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4A83-A021-47FF-BEF7-8090F004CE08}">
  <sheetPr codeName="Hoja4"/>
  <dimension ref="B8:D11"/>
  <sheetViews>
    <sheetView workbookViewId="0">
      <selection activeCell="C8" sqref="C8"/>
    </sheetView>
  </sheetViews>
  <sheetFormatPr baseColWidth="10" defaultRowHeight="15" x14ac:dyDescent="0.25"/>
  <cols>
    <col min="2" max="2" width="29.140625" customWidth="1"/>
    <col min="3" max="3" width="22.7109375" customWidth="1"/>
    <col min="4" max="4" width="23" customWidth="1"/>
  </cols>
  <sheetData>
    <row r="8" spans="2:4" x14ac:dyDescent="0.25">
      <c r="B8" s="54" t="s">
        <v>98</v>
      </c>
      <c r="C8" s="3">
        <v>13</v>
      </c>
      <c r="D8" s="3">
        <f>C8+C9</f>
        <v>14</v>
      </c>
    </row>
    <row r="9" spans="2:4" x14ac:dyDescent="0.25">
      <c r="B9" s="54" t="s">
        <v>99</v>
      </c>
      <c r="C9" s="3">
        <v>1</v>
      </c>
    </row>
    <row r="10" spans="2:4" x14ac:dyDescent="0.25">
      <c r="B10" s="54" t="s">
        <v>100</v>
      </c>
      <c r="C10" s="3" t="str">
        <f>CONCATENATE(C11,"","",D8)</f>
        <v>SKL-14</v>
      </c>
    </row>
    <row r="11" spans="2:4" x14ac:dyDescent="0.25">
      <c r="B11" s="54" t="s">
        <v>101</v>
      </c>
      <c r="C11" s="3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606EDEBC807F48A8CD249B646B071E" ma:contentTypeVersion="8" ma:contentTypeDescription="Crear nuevo documento." ma:contentTypeScope="" ma:versionID="3e9628f6791dbd41656df869078807bc">
  <xsd:schema xmlns:xsd="http://www.w3.org/2001/XMLSchema" xmlns:xs="http://www.w3.org/2001/XMLSchema" xmlns:p="http://schemas.microsoft.com/office/2006/metadata/properties" xmlns:ns3="98b3e425-9326-4f6b-a45d-e56c642659c8" targetNamespace="http://schemas.microsoft.com/office/2006/metadata/properties" ma:root="true" ma:fieldsID="0f4e486bc49ec7083701d10b222a7da0" ns3:_="">
    <xsd:import namespace="98b3e425-9326-4f6b-a45d-e56c642659c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b3e425-9326-4f6b-a45d-e56c642659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BC3B50-0B50-459D-A143-1D0B391E2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376BB9-1131-4064-A5BE-C8A58C557A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b3e425-9326-4f6b-a45d-e56c642659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FD83D0-18E5-42C8-8C88-B66B318314DF}">
  <ds:schemaRefs>
    <ds:schemaRef ds:uri="http://www.w3.org/XML/1998/namespace"/>
    <ds:schemaRef ds:uri="98b3e425-9326-4f6b-a45d-e56c642659c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FACTURA</vt:lpstr>
      <vt:lpstr>BASE DE DATOS</vt:lpstr>
      <vt:lpstr>DATOS GENERALES</vt:lpstr>
      <vt:lpstr>DATOS DE ELEMENTOS</vt:lpstr>
      <vt:lpstr>N. 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Skill</dc:creator>
  <cp:lastModifiedBy>Skill</cp:lastModifiedBy>
  <dcterms:created xsi:type="dcterms:W3CDTF">2022-08-13T17:09:24Z</dcterms:created>
  <dcterms:modified xsi:type="dcterms:W3CDTF">2022-08-30T12:46:29Z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0x010100B6606EDEBC807F48A8CD249B646B071E</vt:lpwstr>
  </property>
</Properties>
</file>